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kahoods365-my.sharepoint.com/personal/caio_hekahoods_com_au/Documents/Desktop/"/>
    </mc:Choice>
  </mc:AlternateContent>
  <xr:revisionPtr revIDLastSave="295" documentId="8_{61CA64BE-CE7B-4CED-BD57-EB9B0641D4EE}" xr6:coauthVersionLast="47" xr6:coauthVersionMax="47" xr10:uidLastSave="{CA5DBE4B-03C7-4BC9-B9AC-CA9FAC284286}"/>
  <bookViews>
    <workbookView xWindow="28680" yWindow="-120" windowWidth="29040" windowHeight="15720" tabRatio="643" xr2:uid="{49407E0A-6A95-3248-8B44-AD076523E79C}"/>
  </bookViews>
  <sheets>
    <sheet name="BOX ORDER" sheetId="1" r:id="rId1"/>
    <sheet name="DISPATCH WORKS ORDER" sheetId="6" r:id="rId2"/>
    <sheet name="CALCULATIONS" sheetId="2" r:id="rId3"/>
    <sheet name="BOXING ORDER LABELS" sheetId="4" r:id="rId4"/>
    <sheet name="DEC 23 - VERSION CONTROL" sheetId="7" r:id="rId5"/>
    <sheet name="NUMERICAL LABELS " sheetId="8" r:id="rId6"/>
  </sheets>
  <definedNames>
    <definedName name="_xlnm.Print_Area" localSheetId="0">'BOX ORDER'!$P$1:$Y$129</definedName>
    <definedName name="_xlnm.Print_Area" localSheetId="1">'DISPATCH WORKS ORDER'!$A$1:$H$43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C2" i="2"/>
  <c r="B2" i="2"/>
  <c r="A19" i="1"/>
  <c r="A16" i="1"/>
  <c r="A18" i="1"/>
  <c r="A17" i="1"/>
  <c r="A13" i="1"/>
  <c r="A15" i="1"/>
  <c r="A14" i="1"/>
  <c r="A12" i="1"/>
  <c r="A11" i="1"/>
  <c r="A10" i="1"/>
  <c r="A9" i="1"/>
  <c r="A8" i="1"/>
  <c r="G10" i="6"/>
  <c r="D10" i="6"/>
  <c r="L9" i="6"/>
  <c r="G9" i="6"/>
  <c r="D9" i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25" i="8"/>
  <c r="A126" i="8"/>
  <c r="A127" i="8"/>
  <c r="A128" i="8"/>
  <c r="A129" i="8"/>
  <c r="A130" i="8"/>
  <c r="A131" i="8"/>
  <c r="A132" i="8"/>
  <c r="A152" i="4"/>
  <c r="A153" i="4"/>
  <c r="A154" i="4"/>
  <c r="A155" i="4"/>
  <c r="A156" i="4"/>
  <c r="A157" i="4"/>
  <c r="A158" i="4"/>
  <c r="A159" i="4"/>
  <c r="A160" i="4"/>
  <c r="A161" i="4"/>
  <c r="B99" i="2"/>
  <c r="K105" i="1" s="1"/>
  <c r="L105" i="1" s="1"/>
  <c r="C99" i="2"/>
  <c r="D99" i="2"/>
  <c r="E99" i="2"/>
  <c r="F99" i="2"/>
  <c r="B100" i="2"/>
  <c r="K106" i="1" s="1"/>
  <c r="L106" i="1" s="1"/>
  <c r="C100" i="2"/>
  <c r="D100" i="2"/>
  <c r="E100" i="2"/>
  <c r="F100" i="2"/>
  <c r="B101" i="2"/>
  <c r="K107" i="1" s="1"/>
  <c r="L107" i="1" s="1"/>
  <c r="C101" i="2"/>
  <c r="D101" i="2"/>
  <c r="E101" i="2"/>
  <c r="F101" i="2"/>
  <c r="B102" i="2"/>
  <c r="K108" i="1" s="1"/>
  <c r="L108" i="1" s="1"/>
  <c r="C102" i="2"/>
  <c r="D102" i="2"/>
  <c r="E102" i="2"/>
  <c r="F102" i="2"/>
  <c r="B103" i="2"/>
  <c r="K109" i="1" s="1"/>
  <c r="L109" i="1" s="1"/>
  <c r="C103" i="2"/>
  <c r="D103" i="2"/>
  <c r="E103" i="2"/>
  <c r="F103" i="2"/>
  <c r="B104" i="2"/>
  <c r="K110" i="1" s="1"/>
  <c r="L110" i="1" s="1"/>
  <c r="C104" i="2"/>
  <c r="D104" i="2"/>
  <c r="E104" i="2"/>
  <c r="F104" i="2"/>
  <c r="B105" i="2"/>
  <c r="K111" i="1" s="1"/>
  <c r="L111" i="1" s="1"/>
  <c r="C105" i="2"/>
  <c r="D105" i="2"/>
  <c r="E105" i="2"/>
  <c r="F105" i="2"/>
  <c r="B106" i="2"/>
  <c r="K112" i="1" s="1"/>
  <c r="L112" i="1" s="1"/>
  <c r="C106" i="2"/>
  <c r="D106" i="2"/>
  <c r="E106" i="2"/>
  <c r="F106" i="2"/>
  <c r="B107" i="2"/>
  <c r="K113" i="1" s="1"/>
  <c r="L113" i="1" s="1"/>
  <c r="C107" i="2"/>
  <c r="D107" i="2"/>
  <c r="E107" i="2"/>
  <c r="F107" i="2"/>
  <c r="B108" i="2"/>
  <c r="K114" i="1" s="1"/>
  <c r="L114" i="1" s="1"/>
  <c r="C108" i="2"/>
  <c r="D108" i="2"/>
  <c r="E108" i="2"/>
  <c r="F108" i="2"/>
  <c r="B109" i="2"/>
  <c r="K115" i="1" s="1"/>
  <c r="L115" i="1" s="1"/>
  <c r="C109" i="2"/>
  <c r="D109" i="2"/>
  <c r="E109" i="2"/>
  <c r="F109" i="2"/>
  <c r="B110" i="2"/>
  <c r="K116" i="1" s="1"/>
  <c r="L116" i="1" s="1"/>
  <c r="C110" i="2"/>
  <c r="D110" i="2"/>
  <c r="E110" i="2"/>
  <c r="F110" i="2"/>
  <c r="B111" i="2"/>
  <c r="K117" i="1" s="1"/>
  <c r="L117" i="1" s="1"/>
  <c r="C111" i="2"/>
  <c r="D111" i="2"/>
  <c r="E111" i="2"/>
  <c r="F111" i="2"/>
  <c r="B21" i="2"/>
  <c r="K27" i="1" s="1"/>
  <c r="L27" i="1" s="1"/>
  <c r="C21" i="2"/>
  <c r="D21" i="2"/>
  <c r="E21" i="2"/>
  <c r="F21" i="2"/>
  <c r="B22" i="2"/>
  <c r="K28" i="1" s="1"/>
  <c r="L28" i="1" s="1"/>
  <c r="C22" i="2"/>
  <c r="D22" i="2"/>
  <c r="E22" i="2"/>
  <c r="F22" i="2"/>
  <c r="B23" i="2"/>
  <c r="K29" i="1" s="1"/>
  <c r="L29" i="1" s="1"/>
  <c r="C23" i="2"/>
  <c r="D23" i="2"/>
  <c r="E23" i="2"/>
  <c r="F23" i="2"/>
  <c r="B24" i="2"/>
  <c r="K30" i="1" s="1"/>
  <c r="L30" i="1" s="1"/>
  <c r="C24" i="2"/>
  <c r="D24" i="2"/>
  <c r="E24" i="2"/>
  <c r="F24" i="2"/>
  <c r="B25" i="2"/>
  <c r="K31" i="1" s="1"/>
  <c r="L31" i="1" s="1"/>
  <c r="C25" i="2"/>
  <c r="D25" i="2"/>
  <c r="E25" i="2"/>
  <c r="F25" i="2"/>
  <c r="B26" i="2"/>
  <c r="K32" i="1" s="1"/>
  <c r="L32" i="1" s="1"/>
  <c r="C26" i="2"/>
  <c r="D26" i="2"/>
  <c r="E26" i="2"/>
  <c r="F26" i="2"/>
  <c r="B27" i="2"/>
  <c r="K33" i="1" s="1"/>
  <c r="L33" i="1" s="1"/>
  <c r="C27" i="2"/>
  <c r="D27" i="2"/>
  <c r="E27" i="2"/>
  <c r="F27" i="2"/>
  <c r="B28" i="2"/>
  <c r="K34" i="1" s="1"/>
  <c r="L34" i="1" s="1"/>
  <c r="C28" i="2"/>
  <c r="D28" i="2"/>
  <c r="E28" i="2"/>
  <c r="F28" i="2"/>
  <c r="B29" i="2"/>
  <c r="K35" i="1" s="1"/>
  <c r="L35" i="1" s="1"/>
  <c r="C29" i="2"/>
  <c r="D29" i="2"/>
  <c r="E29" i="2"/>
  <c r="F29" i="2"/>
  <c r="B30" i="2"/>
  <c r="K36" i="1" s="1"/>
  <c r="L36" i="1" s="1"/>
  <c r="C30" i="2"/>
  <c r="D30" i="2"/>
  <c r="E30" i="2"/>
  <c r="F30" i="2"/>
  <c r="B31" i="2"/>
  <c r="K37" i="1" s="1"/>
  <c r="L37" i="1" s="1"/>
  <c r="C31" i="2"/>
  <c r="D31" i="2"/>
  <c r="E31" i="2"/>
  <c r="F31" i="2"/>
  <c r="B32" i="2"/>
  <c r="K38" i="1" s="1"/>
  <c r="L38" i="1" s="1"/>
  <c r="C32" i="2"/>
  <c r="D32" i="2"/>
  <c r="E32" i="2"/>
  <c r="F32" i="2"/>
  <c r="B33" i="2"/>
  <c r="K39" i="1" s="1"/>
  <c r="L39" i="1" s="1"/>
  <c r="C33" i="2"/>
  <c r="D33" i="2"/>
  <c r="E33" i="2"/>
  <c r="F33" i="2"/>
  <c r="B34" i="2"/>
  <c r="K40" i="1" s="1"/>
  <c r="L40" i="1" s="1"/>
  <c r="C34" i="2"/>
  <c r="D34" i="2"/>
  <c r="E34" i="2"/>
  <c r="F34" i="2"/>
  <c r="B35" i="2"/>
  <c r="K41" i="1" s="1"/>
  <c r="L41" i="1" s="1"/>
  <c r="C35" i="2"/>
  <c r="D35" i="2"/>
  <c r="E35" i="2"/>
  <c r="F35" i="2"/>
  <c r="B36" i="2"/>
  <c r="K42" i="1" s="1"/>
  <c r="L42" i="1" s="1"/>
  <c r="C36" i="2"/>
  <c r="D36" i="2"/>
  <c r="E36" i="2"/>
  <c r="F36" i="2"/>
  <c r="B37" i="2"/>
  <c r="K43" i="1" s="1"/>
  <c r="L43" i="1" s="1"/>
  <c r="C37" i="2"/>
  <c r="D37" i="2"/>
  <c r="E37" i="2"/>
  <c r="F37" i="2"/>
  <c r="B38" i="2"/>
  <c r="K44" i="1" s="1"/>
  <c r="L44" i="1" s="1"/>
  <c r="C38" i="2"/>
  <c r="D38" i="2"/>
  <c r="E38" i="2"/>
  <c r="F38" i="2"/>
  <c r="B39" i="2"/>
  <c r="K45" i="1" s="1"/>
  <c r="L45" i="1" s="1"/>
  <c r="C39" i="2"/>
  <c r="D39" i="2"/>
  <c r="E39" i="2"/>
  <c r="F39" i="2"/>
  <c r="B40" i="2"/>
  <c r="K46" i="1" s="1"/>
  <c r="L46" i="1" s="1"/>
  <c r="C40" i="2"/>
  <c r="D40" i="2"/>
  <c r="E40" i="2"/>
  <c r="F40" i="2"/>
  <c r="B41" i="2"/>
  <c r="K47" i="1" s="1"/>
  <c r="L47" i="1" s="1"/>
  <c r="C41" i="2"/>
  <c r="D41" i="2"/>
  <c r="E41" i="2"/>
  <c r="F41" i="2"/>
  <c r="B42" i="2"/>
  <c r="K48" i="1" s="1"/>
  <c r="L48" i="1" s="1"/>
  <c r="C42" i="2"/>
  <c r="D42" i="2"/>
  <c r="E42" i="2"/>
  <c r="F42" i="2"/>
  <c r="B43" i="2"/>
  <c r="K49" i="1" s="1"/>
  <c r="L49" i="1" s="1"/>
  <c r="C43" i="2"/>
  <c r="D43" i="2"/>
  <c r="E43" i="2"/>
  <c r="F43" i="2"/>
  <c r="B44" i="2"/>
  <c r="K50" i="1" s="1"/>
  <c r="L50" i="1" s="1"/>
  <c r="C44" i="2"/>
  <c r="D44" i="2"/>
  <c r="E44" i="2"/>
  <c r="F44" i="2"/>
  <c r="B45" i="2"/>
  <c r="K51" i="1" s="1"/>
  <c r="L51" i="1" s="1"/>
  <c r="C45" i="2"/>
  <c r="D45" i="2"/>
  <c r="E45" i="2"/>
  <c r="F45" i="2"/>
  <c r="B46" i="2"/>
  <c r="K52" i="1" s="1"/>
  <c r="L52" i="1" s="1"/>
  <c r="C46" i="2"/>
  <c r="D46" i="2"/>
  <c r="E46" i="2"/>
  <c r="F46" i="2"/>
  <c r="B47" i="2"/>
  <c r="K53" i="1" s="1"/>
  <c r="L53" i="1" s="1"/>
  <c r="C47" i="2"/>
  <c r="D47" i="2"/>
  <c r="E47" i="2"/>
  <c r="F47" i="2"/>
  <c r="B48" i="2"/>
  <c r="K54" i="1" s="1"/>
  <c r="L54" i="1" s="1"/>
  <c r="C48" i="2"/>
  <c r="D48" i="2"/>
  <c r="E48" i="2"/>
  <c r="F48" i="2"/>
  <c r="B49" i="2"/>
  <c r="K55" i="1" s="1"/>
  <c r="L55" i="1" s="1"/>
  <c r="C49" i="2"/>
  <c r="D49" i="2"/>
  <c r="E49" i="2"/>
  <c r="F49" i="2"/>
  <c r="B50" i="2"/>
  <c r="K56" i="1" s="1"/>
  <c r="L56" i="1" s="1"/>
  <c r="C50" i="2"/>
  <c r="D50" i="2"/>
  <c r="E50" i="2"/>
  <c r="F50" i="2"/>
  <c r="B51" i="2"/>
  <c r="K57" i="1" s="1"/>
  <c r="L57" i="1" s="1"/>
  <c r="C51" i="2"/>
  <c r="D51" i="2"/>
  <c r="E51" i="2"/>
  <c r="F51" i="2"/>
  <c r="B52" i="2"/>
  <c r="K58" i="1" s="1"/>
  <c r="L58" i="1" s="1"/>
  <c r="C52" i="2"/>
  <c r="D52" i="2"/>
  <c r="E52" i="2"/>
  <c r="F52" i="2"/>
  <c r="B53" i="2"/>
  <c r="K59" i="1" s="1"/>
  <c r="L59" i="1" s="1"/>
  <c r="C53" i="2"/>
  <c r="D53" i="2"/>
  <c r="E53" i="2"/>
  <c r="F53" i="2"/>
  <c r="B54" i="2"/>
  <c r="K60" i="1" s="1"/>
  <c r="L60" i="1" s="1"/>
  <c r="C54" i="2"/>
  <c r="D54" i="2"/>
  <c r="E54" i="2"/>
  <c r="F54" i="2"/>
  <c r="B55" i="2"/>
  <c r="K61" i="1" s="1"/>
  <c r="L61" i="1" s="1"/>
  <c r="C55" i="2"/>
  <c r="D55" i="2"/>
  <c r="E55" i="2"/>
  <c r="F55" i="2"/>
  <c r="B56" i="2"/>
  <c r="K62" i="1" s="1"/>
  <c r="L62" i="1" s="1"/>
  <c r="C56" i="2"/>
  <c r="D56" i="2"/>
  <c r="E56" i="2"/>
  <c r="F56" i="2"/>
  <c r="B57" i="2"/>
  <c r="K63" i="1" s="1"/>
  <c r="L63" i="1" s="1"/>
  <c r="C57" i="2"/>
  <c r="D57" i="2"/>
  <c r="E57" i="2"/>
  <c r="F57" i="2"/>
  <c r="B58" i="2"/>
  <c r="K64" i="1" s="1"/>
  <c r="L64" i="1" s="1"/>
  <c r="C58" i="2"/>
  <c r="D58" i="2"/>
  <c r="E58" i="2"/>
  <c r="F58" i="2"/>
  <c r="B59" i="2"/>
  <c r="K65" i="1" s="1"/>
  <c r="L65" i="1" s="1"/>
  <c r="C59" i="2"/>
  <c r="D59" i="2"/>
  <c r="E59" i="2"/>
  <c r="F59" i="2"/>
  <c r="B60" i="2"/>
  <c r="K66" i="1" s="1"/>
  <c r="L66" i="1" s="1"/>
  <c r="C60" i="2"/>
  <c r="D60" i="2"/>
  <c r="E60" i="2"/>
  <c r="F60" i="2"/>
  <c r="B61" i="2"/>
  <c r="K67" i="1" s="1"/>
  <c r="L67" i="1" s="1"/>
  <c r="C61" i="2"/>
  <c r="D61" i="2"/>
  <c r="E61" i="2"/>
  <c r="F61" i="2"/>
  <c r="B62" i="2"/>
  <c r="K68" i="1" s="1"/>
  <c r="L68" i="1" s="1"/>
  <c r="C62" i="2"/>
  <c r="D62" i="2"/>
  <c r="E62" i="2"/>
  <c r="F62" i="2"/>
  <c r="B63" i="2"/>
  <c r="K69" i="1" s="1"/>
  <c r="L69" i="1" s="1"/>
  <c r="C63" i="2"/>
  <c r="D63" i="2"/>
  <c r="E63" i="2"/>
  <c r="F63" i="2"/>
  <c r="B64" i="2"/>
  <c r="K70" i="1" s="1"/>
  <c r="L70" i="1" s="1"/>
  <c r="C64" i="2"/>
  <c r="D64" i="2"/>
  <c r="E64" i="2"/>
  <c r="F64" i="2"/>
  <c r="B65" i="2"/>
  <c r="K71" i="1" s="1"/>
  <c r="L71" i="1" s="1"/>
  <c r="C65" i="2"/>
  <c r="D65" i="2"/>
  <c r="E65" i="2"/>
  <c r="F65" i="2"/>
  <c r="B66" i="2"/>
  <c r="K72" i="1" s="1"/>
  <c r="L72" i="1" s="1"/>
  <c r="C66" i="2"/>
  <c r="D66" i="2"/>
  <c r="E66" i="2"/>
  <c r="F66" i="2"/>
  <c r="B67" i="2"/>
  <c r="K73" i="1" s="1"/>
  <c r="L73" i="1" s="1"/>
  <c r="C67" i="2"/>
  <c r="D67" i="2"/>
  <c r="E67" i="2"/>
  <c r="F67" i="2"/>
  <c r="B68" i="2"/>
  <c r="K74" i="1" s="1"/>
  <c r="L74" i="1" s="1"/>
  <c r="C68" i="2"/>
  <c r="D68" i="2"/>
  <c r="E68" i="2"/>
  <c r="F68" i="2"/>
  <c r="B69" i="2"/>
  <c r="K75" i="1" s="1"/>
  <c r="L75" i="1" s="1"/>
  <c r="C69" i="2"/>
  <c r="D69" i="2"/>
  <c r="E69" i="2"/>
  <c r="F69" i="2"/>
  <c r="B70" i="2"/>
  <c r="K76" i="1" s="1"/>
  <c r="L76" i="1" s="1"/>
  <c r="C70" i="2"/>
  <c r="D70" i="2"/>
  <c r="E70" i="2"/>
  <c r="F70" i="2"/>
  <c r="B71" i="2"/>
  <c r="K77" i="1" s="1"/>
  <c r="L77" i="1" s="1"/>
  <c r="C71" i="2"/>
  <c r="D71" i="2"/>
  <c r="E71" i="2"/>
  <c r="F71" i="2"/>
  <c r="B72" i="2"/>
  <c r="K78" i="1" s="1"/>
  <c r="L78" i="1" s="1"/>
  <c r="C72" i="2"/>
  <c r="D72" i="2"/>
  <c r="E72" i="2"/>
  <c r="F72" i="2"/>
  <c r="B73" i="2"/>
  <c r="K79" i="1" s="1"/>
  <c r="L79" i="1" s="1"/>
  <c r="C73" i="2"/>
  <c r="D73" i="2"/>
  <c r="E73" i="2"/>
  <c r="F73" i="2"/>
  <c r="B74" i="2"/>
  <c r="K80" i="1" s="1"/>
  <c r="L80" i="1" s="1"/>
  <c r="C74" i="2"/>
  <c r="D74" i="2"/>
  <c r="E74" i="2"/>
  <c r="F74" i="2"/>
  <c r="B75" i="2"/>
  <c r="K81" i="1" s="1"/>
  <c r="L81" i="1" s="1"/>
  <c r="C75" i="2"/>
  <c r="D75" i="2"/>
  <c r="E75" i="2"/>
  <c r="F75" i="2"/>
  <c r="B76" i="2"/>
  <c r="K82" i="1" s="1"/>
  <c r="L82" i="1" s="1"/>
  <c r="C76" i="2"/>
  <c r="D76" i="2"/>
  <c r="E76" i="2"/>
  <c r="F76" i="2"/>
  <c r="B77" i="2"/>
  <c r="K83" i="1" s="1"/>
  <c r="L83" i="1" s="1"/>
  <c r="C77" i="2"/>
  <c r="D77" i="2"/>
  <c r="E77" i="2"/>
  <c r="F77" i="2"/>
  <c r="B78" i="2"/>
  <c r="K84" i="1" s="1"/>
  <c r="L84" i="1" s="1"/>
  <c r="C78" i="2"/>
  <c r="D78" i="2"/>
  <c r="E78" i="2"/>
  <c r="F78" i="2"/>
  <c r="B79" i="2"/>
  <c r="K85" i="1" s="1"/>
  <c r="L85" i="1" s="1"/>
  <c r="C79" i="2"/>
  <c r="D79" i="2"/>
  <c r="E79" i="2"/>
  <c r="F79" i="2"/>
  <c r="B80" i="2"/>
  <c r="K86" i="1" s="1"/>
  <c r="L86" i="1" s="1"/>
  <c r="C80" i="2"/>
  <c r="D80" i="2"/>
  <c r="E80" i="2"/>
  <c r="F80" i="2"/>
  <c r="B81" i="2"/>
  <c r="K87" i="1" s="1"/>
  <c r="L87" i="1" s="1"/>
  <c r="C81" i="2"/>
  <c r="D81" i="2"/>
  <c r="E81" i="2"/>
  <c r="F81" i="2"/>
  <c r="B82" i="2"/>
  <c r="K88" i="1" s="1"/>
  <c r="L88" i="1" s="1"/>
  <c r="C82" i="2"/>
  <c r="D82" i="2"/>
  <c r="E82" i="2"/>
  <c r="F82" i="2"/>
  <c r="B83" i="2"/>
  <c r="K89" i="1" s="1"/>
  <c r="L89" i="1" s="1"/>
  <c r="C83" i="2"/>
  <c r="D83" i="2"/>
  <c r="E83" i="2"/>
  <c r="F83" i="2"/>
  <c r="B84" i="2"/>
  <c r="K90" i="1" s="1"/>
  <c r="L90" i="1" s="1"/>
  <c r="C84" i="2"/>
  <c r="D84" i="2"/>
  <c r="E84" i="2"/>
  <c r="F84" i="2"/>
  <c r="B85" i="2"/>
  <c r="K91" i="1" s="1"/>
  <c r="L91" i="1" s="1"/>
  <c r="C85" i="2"/>
  <c r="D85" i="2"/>
  <c r="E85" i="2"/>
  <c r="F85" i="2"/>
  <c r="B86" i="2"/>
  <c r="K92" i="1" s="1"/>
  <c r="L92" i="1" s="1"/>
  <c r="C86" i="2"/>
  <c r="D86" i="2"/>
  <c r="E86" i="2"/>
  <c r="F86" i="2"/>
  <c r="B87" i="2"/>
  <c r="K93" i="1" s="1"/>
  <c r="L93" i="1" s="1"/>
  <c r="C87" i="2"/>
  <c r="D87" i="2"/>
  <c r="E87" i="2"/>
  <c r="F87" i="2"/>
  <c r="B88" i="2"/>
  <c r="K94" i="1" s="1"/>
  <c r="L94" i="1" s="1"/>
  <c r="C88" i="2"/>
  <c r="D88" i="2"/>
  <c r="E88" i="2"/>
  <c r="F88" i="2"/>
  <c r="B89" i="2"/>
  <c r="K95" i="1" s="1"/>
  <c r="L95" i="1" s="1"/>
  <c r="C89" i="2"/>
  <c r="D89" i="2"/>
  <c r="E89" i="2"/>
  <c r="F89" i="2"/>
  <c r="B90" i="2"/>
  <c r="K96" i="1" s="1"/>
  <c r="L96" i="1" s="1"/>
  <c r="C90" i="2"/>
  <c r="D90" i="2"/>
  <c r="E90" i="2"/>
  <c r="F90" i="2"/>
  <c r="B91" i="2"/>
  <c r="K97" i="1" s="1"/>
  <c r="L97" i="1" s="1"/>
  <c r="C91" i="2"/>
  <c r="D91" i="2"/>
  <c r="E91" i="2"/>
  <c r="F91" i="2"/>
  <c r="B92" i="2"/>
  <c r="K98" i="1" s="1"/>
  <c r="L98" i="1" s="1"/>
  <c r="C92" i="2"/>
  <c r="D92" i="2"/>
  <c r="E92" i="2"/>
  <c r="F92" i="2"/>
  <c r="B93" i="2"/>
  <c r="K99" i="1" s="1"/>
  <c r="L99" i="1" s="1"/>
  <c r="C93" i="2"/>
  <c r="D93" i="2"/>
  <c r="E93" i="2"/>
  <c r="F93" i="2"/>
  <c r="B94" i="2"/>
  <c r="K100" i="1" s="1"/>
  <c r="L100" i="1" s="1"/>
  <c r="C94" i="2"/>
  <c r="D94" i="2"/>
  <c r="E94" i="2"/>
  <c r="F94" i="2"/>
  <c r="B95" i="2"/>
  <c r="K101" i="1" s="1"/>
  <c r="L101" i="1" s="1"/>
  <c r="C95" i="2"/>
  <c r="D95" i="2"/>
  <c r="E95" i="2"/>
  <c r="F95" i="2"/>
  <c r="B96" i="2"/>
  <c r="K102" i="1" s="1"/>
  <c r="L102" i="1" s="1"/>
  <c r="C96" i="2"/>
  <c r="D96" i="2"/>
  <c r="E96" i="2"/>
  <c r="F96" i="2"/>
  <c r="B97" i="2"/>
  <c r="K103" i="1" s="1"/>
  <c r="L103" i="1" s="1"/>
  <c r="C97" i="2"/>
  <c r="D97" i="2"/>
  <c r="E97" i="2"/>
  <c r="F97" i="2"/>
  <c r="B98" i="2"/>
  <c r="K104" i="1" s="1"/>
  <c r="L104" i="1" s="1"/>
  <c r="C98" i="2"/>
  <c r="D98" i="2"/>
  <c r="E98" i="2"/>
  <c r="F98" i="2"/>
  <c r="G7" i="6"/>
  <c r="P2" i="1"/>
  <c r="V4" i="1"/>
  <c r="U4" i="1"/>
  <c r="T4" i="1"/>
  <c r="S4" i="1"/>
  <c r="R4" i="1"/>
  <c r="A28" i="8" l="1"/>
  <c r="A27" i="8"/>
  <c r="A26" i="8"/>
  <c r="A25" i="8"/>
  <c r="A24" i="8"/>
  <c r="A23" i="8"/>
  <c r="A22" i="8"/>
  <c r="A21" i="8"/>
  <c r="G102" i="2"/>
  <c r="G95" i="2"/>
  <c r="G36" i="2"/>
  <c r="G29" i="2"/>
  <c r="G104" i="2"/>
  <c r="G101" i="2"/>
  <c r="G110" i="2"/>
  <c r="G111" i="2"/>
  <c r="G100" i="2"/>
  <c r="G106" i="2"/>
  <c r="A2" i="8"/>
  <c r="G26" i="2"/>
  <c r="G64" i="2"/>
  <c r="G24" i="2"/>
  <c r="G109" i="2"/>
  <c r="G107" i="2"/>
  <c r="G89" i="2"/>
  <c r="G81" i="2"/>
  <c r="G73" i="2"/>
  <c r="G33" i="2"/>
  <c r="G22" i="2"/>
  <c r="G92" i="2"/>
  <c r="G84" i="2"/>
  <c r="G76" i="2"/>
  <c r="G68" i="2"/>
  <c r="G60" i="2"/>
  <c r="G52" i="2"/>
  <c r="G44" i="2"/>
  <c r="G25" i="2"/>
  <c r="G99" i="2"/>
  <c r="G87" i="2"/>
  <c r="G79" i="2"/>
  <c r="G71" i="2"/>
  <c r="G63" i="2"/>
  <c r="G55" i="2"/>
  <c r="G47" i="2"/>
  <c r="G39" i="2"/>
  <c r="G108" i="2"/>
  <c r="G105" i="2"/>
  <c r="G40" i="2"/>
  <c r="G23" i="2"/>
  <c r="G103" i="2"/>
  <c r="G66" i="2"/>
  <c r="G42" i="2"/>
  <c r="G34" i="2"/>
  <c r="G31" i="2"/>
  <c r="G98" i="2"/>
  <c r="G82" i="2"/>
  <c r="G74" i="2"/>
  <c r="G58" i="2"/>
  <c r="G50" i="2"/>
  <c r="G93" i="2"/>
  <c r="G85" i="2"/>
  <c r="G77" i="2"/>
  <c r="G69" i="2"/>
  <c r="G61" i="2"/>
  <c r="G53" i="2"/>
  <c r="G45" i="2"/>
  <c r="G37" i="2"/>
  <c r="G32" i="2"/>
  <c r="G96" i="2"/>
  <c r="G56" i="2"/>
  <c r="G48" i="2"/>
  <c r="G91" i="2"/>
  <c r="G83" i="2"/>
  <c r="G75" i="2"/>
  <c r="G67" i="2"/>
  <c r="G59" i="2"/>
  <c r="G51" i="2"/>
  <c r="G43" i="2"/>
  <c r="G35" i="2"/>
  <c r="G88" i="2"/>
  <c r="G80" i="2"/>
  <c r="G72" i="2"/>
  <c r="G94" i="2"/>
  <c r="G86" i="2"/>
  <c r="G78" i="2"/>
  <c r="G70" i="2"/>
  <c r="G62" i="2"/>
  <c r="G54" i="2"/>
  <c r="G46" i="2"/>
  <c r="G38" i="2"/>
  <c r="G21" i="2"/>
  <c r="G97" i="2"/>
  <c r="G65" i="2"/>
  <c r="G57" i="2"/>
  <c r="G49" i="2"/>
  <c r="G41" i="2"/>
  <c r="G30" i="2"/>
  <c r="G27" i="2"/>
  <c r="G90" i="2"/>
  <c r="G28" i="2"/>
  <c r="A3" i="8"/>
  <c r="A4" i="8"/>
  <c r="A5" i="8"/>
  <c r="D9" i="6"/>
  <c r="D27" i="6" s="1"/>
  <c r="A6" i="8"/>
  <c r="A30" i="8" l="1"/>
  <c r="A29" i="8"/>
  <c r="D12" i="6"/>
  <c r="A7" i="8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D2" i="2"/>
  <c r="A31" i="8" l="1"/>
  <c r="A8" i="8"/>
  <c r="E113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A32" i="8" l="1"/>
  <c r="A9" i="8"/>
  <c r="B3" i="2"/>
  <c r="K9" i="1" s="1"/>
  <c r="L9" i="1" s="1"/>
  <c r="B4" i="2"/>
  <c r="K10" i="1" s="1"/>
  <c r="L10" i="1" s="1"/>
  <c r="B5" i="2"/>
  <c r="K11" i="1" s="1"/>
  <c r="L11" i="1" s="1"/>
  <c r="B6" i="2"/>
  <c r="K12" i="1" s="1"/>
  <c r="L12" i="1" s="1"/>
  <c r="B7" i="2"/>
  <c r="K13" i="1" s="1"/>
  <c r="L13" i="1" s="1"/>
  <c r="B8" i="2"/>
  <c r="K14" i="1" s="1"/>
  <c r="L14" i="1" s="1"/>
  <c r="B9" i="2"/>
  <c r="K15" i="1" s="1"/>
  <c r="L15" i="1" s="1"/>
  <c r="B10" i="2"/>
  <c r="K16" i="1" s="1"/>
  <c r="L16" i="1" s="1"/>
  <c r="B11" i="2"/>
  <c r="K17" i="1" s="1"/>
  <c r="L17" i="1" s="1"/>
  <c r="B12" i="2"/>
  <c r="K18" i="1" s="1"/>
  <c r="L18" i="1" s="1"/>
  <c r="B13" i="2"/>
  <c r="K19" i="1" s="1"/>
  <c r="L19" i="1" s="1"/>
  <c r="B14" i="2"/>
  <c r="K20" i="1" s="1"/>
  <c r="L20" i="1" s="1"/>
  <c r="B15" i="2"/>
  <c r="K21" i="1" s="1"/>
  <c r="L21" i="1" s="1"/>
  <c r="B16" i="2"/>
  <c r="K22" i="1" s="1"/>
  <c r="L22" i="1" s="1"/>
  <c r="B17" i="2"/>
  <c r="K23" i="1" s="1"/>
  <c r="L23" i="1" s="1"/>
  <c r="B18" i="2"/>
  <c r="K24" i="1" s="1"/>
  <c r="L24" i="1" s="1"/>
  <c r="B19" i="2"/>
  <c r="K25" i="1" s="1"/>
  <c r="L25" i="1" s="1"/>
  <c r="B20" i="2"/>
  <c r="K26" i="1" s="1"/>
  <c r="L26" i="1" s="1"/>
  <c r="K8" i="1"/>
  <c r="L8" i="1" s="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A33" i="8" l="1"/>
  <c r="A10" i="8"/>
  <c r="G9" i="2"/>
  <c r="G20" i="2"/>
  <c r="G4" i="2"/>
  <c r="G16" i="2"/>
  <c r="G3" i="2"/>
  <c r="G14" i="2"/>
  <c r="G8" i="2"/>
  <c r="G13" i="2"/>
  <c r="G17" i="2"/>
  <c r="G5" i="2"/>
  <c r="G6" i="2"/>
  <c r="G15" i="2"/>
  <c r="G19" i="2"/>
  <c r="G7" i="2"/>
  <c r="G18" i="2"/>
  <c r="G12" i="2"/>
  <c r="G11" i="2"/>
  <c r="G10" i="2"/>
  <c r="F113" i="2"/>
  <c r="G2" i="2"/>
  <c r="D113" i="2"/>
  <c r="A34" i="8" l="1"/>
  <c r="A11" i="8"/>
  <c r="G113" i="2"/>
  <c r="A35" i="8" l="1"/>
  <c r="A12" i="8"/>
  <c r="A36" i="8" l="1"/>
  <c r="A13" i="8"/>
  <c r="A37" i="8" l="1"/>
  <c r="A14" i="8"/>
  <c r="A38" i="8" l="1"/>
  <c r="A15" i="8"/>
  <c r="A39" i="8" l="1"/>
  <c r="A16" i="8"/>
  <c r="A40" i="8" l="1"/>
  <c r="A17" i="8"/>
  <c r="A41" i="8" l="1"/>
  <c r="A18" i="8"/>
  <c r="A42" i="8" l="1"/>
  <c r="A19" i="8"/>
  <c r="A43" i="8" l="1"/>
  <c r="A20" i="8"/>
  <c r="A44" i="8" l="1"/>
  <c r="A45" i="8" l="1"/>
  <c r="A46" i="8" l="1"/>
  <c r="A47" i="8" l="1"/>
  <c r="A48" i="8" l="1"/>
  <c r="A49" i="8" l="1"/>
  <c r="A50" i="8" l="1"/>
  <c r="A51" i="8" l="1"/>
  <c r="A52" i="8" l="1"/>
  <c r="A53" i="8" l="1"/>
  <c r="A54" i="8" l="1"/>
  <c r="A55" i="8" l="1"/>
  <c r="A56" i="8" l="1"/>
  <c r="A57" i="8" l="1"/>
  <c r="A58" i="8" l="1"/>
  <c r="A59" i="8" l="1"/>
  <c r="A60" i="8" l="1"/>
  <c r="A61" i="8" l="1"/>
  <c r="A62" i="8" l="1"/>
  <c r="A63" i="8" l="1"/>
  <c r="A64" i="8" l="1"/>
  <c r="A65" i="8" l="1"/>
  <c r="A66" i="8" l="1"/>
  <c r="A67" i="8" l="1"/>
  <c r="A68" i="8" l="1"/>
  <c r="A69" i="8" l="1"/>
  <c r="A70" i="8" l="1"/>
  <c r="A71" i="8" l="1"/>
  <c r="A72" i="8" l="1"/>
  <c r="A73" i="8" l="1"/>
  <c r="A74" i="8" l="1"/>
  <c r="A75" i="8" l="1"/>
  <c r="A76" i="8" l="1"/>
  <c r="A77" i="8" l="1"/>
  <c r="A78" i="8" l="1"/>
  <c r="A79" i="8" l="1"/>
  <c r="A80" i="8" l="1"/>
  <c r="A81" i="8" l="1"/>
  <c r="A82" i="8" l="1"/>
  <c r="A83" i="8" l="1"/>
  <c r="A84" i="8" l="1"/>
  <c r="A85" i="8" l="1"/>
  <c r="A86" i="8" l="1"/>
  <c r="A87" i="8" l="1"/>
  <c r="A88" i="8" l="1"/>
  <c r="A89" i="8" l="1"/>
  <c r="A90" i="8" l="1"/>
  <c r="A91" i="8" l="1"/>
  <c r="A92" i="8" l="1"/>
  <c r="A93" i="8" l="1"/>
  <c r="A94" i="8" l="1"/>
  <c r="A95" i="8" l="1"/>
  <c r="A96" i="8" l="1"/>
  <c r="A97" i="8" l="1"/>
  <c r="A98" i="8" l="1"/>
  <c r="A99" i="8" l="1"/>
  <c r="A100" i="8" l="1"/>
  <c r="A101" i="8" l="1"/>
  <c r="A102" i="8" l="1"/>
  <c r="A103" i="8" l="1"/>
  <c r="A104" i="8" l="1"/>
  <c r="A105" i="8" l="1"/>
  <c r="A106" i="8" l="1"/>
  <c r="A107" i="8" l="1"/>
  <c r="A108" i="8" l="1"/>
  <c r="A109" i="8" l="1"/>
  <c r="A110" i="8" l="1"/>
  <c r="P7" i="1" a="1"/>
  <c r="A2" i="4" s="1"/>
  <c r="P7" i="1" l="1"/>
  <c r="A92" i="4"/>
  <c r="A54" i="4"/>
  <c r="A15" i="4"/>
  <c r="A111" i="4"/>
  <c r="A73" i="4"/>
  <c r="A42" i="4"/>
  <c r="A109" i="4"/>
  <c r="A99" i="4"/>
  <c r="A4" i="4"/>
  <c r="A9" i="4"/>
  <c r="A45" i="4"/>
  <c r="A91" i="4"/>
  <c r="A100" i="4"/>
  <c r="A62" i="4"/>
  <c r="A23" i="4"/>
  <c r="A16" i="4"/>
  <c r="A81" i="4"/>
  <c r="A50" i="4"/>
  <c r="A104" i="4"/>
  <c r="A107" i="4"/>
  <c r="A10" i="4"/>
  <c r="A38" i="4"/>
  <c r="A6" i="4"/>
  <c r="A12" i="4"/>
  <c r="A108" i="4"/>
  <c r="A70" i="4"/>
  <c r="A31" i="4"/>
  <c r="A40" i="4"/>
  <c r="A89" i="4"/>
  <c r="A58" i="4"/>
  <c r="A19" i="4"/>
  <c r="A13" i="4"/>
  <c r="A26" i="4"/>
  <c r="A80" i="4"/>
  <c r="A20" i="4"/>
  <c r="A37" i="4"/>
  <c r="A78" i="4"/>
  <c r="A39" i="4"/>
  <c r="A56" i="4"/>
  <c r="A97" i="4"/>
  <c r="A66" i="4"/>
  <c r="A27" i="4"/>
  <c r="A53" i="4"/>
  <c r="A7" i="4"/>
  <c r="A46" i="4"/>
  <c r="A8" i="4"/>
  <c r="A28" i="4"/>
  <c r="A69" i="4"/>
  <c r="A86" i="4"/>
  <c r="A47" i="4"/>
  <c r="A96" i="4"/>
  <c r="A105" i="4"/>
  <c r="A74" i="4"/>
  <c r="A35" i="4"/>
  <c r="A85" i="4"/>
  <c r="A3" i="4"/>
  <c r="A84" i="4"/>
  <c r="A36" i="4"/>
  <c r="A101" i="4"/>
  <c r="A94" i="4"/>
  <c r="A55" i="4"/>
  <c r="A17" i="4"/>
  <c r="A29" i="4"/>
  <c r="A82" i="4"/>
  <c r="A43" i="4"/>
  <c r="A64" i="4"/>
  <c r="A57" i="4"/>
  <c r="A65" i="4"/>
  <c r="A44" i="4"/>
  <c r="A88" i="4"/>
  <c r="A102" i="4"/>
  <c r="A63" i="4"/>
  <c r="A25" i="4"/>
  <c r="A61" i="4"/>
  <c r="A90" i="4"/>
  <c r="A51" i="4"/>
  <c r="A5" i="4"/>
  <c r="A59" i="4"/>
  <c r="A95" i="4"/>
  <c r="A34" i="4"/>
  <c r="A52" i="4"/>
  <c r="A14" i="4"/>
  <c r="A110" i="4"/>
  <c r="A71" i="4"/>
  <c r="A33" i="4"/>
  <c r="A93" i="4"/>
  <c r="A98" i="4"/>
  <c r="A48" i="4"/>
  <c r="A77" i="4"/>
  <c r="A60" i="4"/>
  <c r="A22" i="4"/>
  <c r="A24" i="4"/>
  <c r="A79" i="4"/>
  <c r="A41" i="4"/>
  <c r="A72" i="4"/>
  <c r="A106" i="4"/>
  <c r="A67" i="4"/>
  <c r="A83" i="4"/>
  <c r="A68" i="4"/>
  <c r="A30" i="4"/>
  <c r="A32" i="4"/>
  <c r="A87" i="4"/>
  <c r="A49" i="4"/>
  <c r="A18" i="4"/>
  <c r="A21" i="4"/>
  <c r="A75" i="4"/>
  <c r="A11" i="4"/>
  <c r="A76" i="4"/>
  <c r="A103" i="4"/>
  <c r="A11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<sst xmlns="http://schemas.openxmlformats.org/spreadsheetml/2006/main" count="341" uniqueCount="91">
  <si>
    <t>5-7 INDUSTRIAL PLACE, YANDINA QLD 4561
 	P 07 5406 0886
HELLO@HEKAHOODS.COM.AU
WWW.HEKAHOODS.COM.AU</t>
  </si>
  <si>
    <t># HOODS</t>
  </si>
  <si>
    <t>H SECTIONS</t>
  </si>
  <si>
    <t xml:space="preserve">JOINERS </t>
  </si>
  <si>
    <t>WEIGHT (ON S/S)</t>
  </si>
  <si>
    <t>COVER PLATES / TOUCH UP PAINT</t>
  </si>
  <si>
    <t>INCLUDE JOINERS &amp; H SECTIONS</t>
  </si>
  <si>
    <t>BOX CUT LENGTH MM</t>
  </si>
  <si>
    <t>BOX #</t>
  </si>
  <si>
    <t>#</t>
  </si>
  <si>
    <t>HOOD 1D</t>
  </si>
  <si>
    <t>DEPTH</t>
  </si>
  <si>
    <t>LENGTH H1</t>
  </si>
  <si>
    <t>LENGTH H2</t>
  </si>
  <si>
    <t>RETURNS</t>
  </si>
  <si>
    <t>BASE</t>
  </si>
  <si>
    <t>LID</t>
  </si>
  <si>
    <t>SPECIAL REQUIREMENTS / NOTES</t>
  </si>
  <si>
    <t>HOODS</t>
  </si>
  <si>
    <t>DISPATCH CHECKLIST</t>
  </si>
  <si>
    <t xml:space="preserve">INITIALS </t>
  </si>
  <si>
    <t xml:space="preserve">BOX ORDER CHECKLIST
 (CLIP DOCS IN THE FOLLOWING ORDER) </t>
  </si>
  <si>
    <t xml:space="preserve">TICK </t>
  </si>
  <si>
    <t xml:space="preserve">Box Labels </t>
  </si>
  <si>
    <t xml:space="preserve">Box order </t>
  </si>
  <si>
    <t>Address Labels</t>
  </si>
  <si>
    <t>Envelope sleeve: helpful hints, H &amp; J info &amp; installation guide</t>
  </si>
  <si>
    <t>update Smartsheet - Box orders to type</t>
  </si>
  <si>
    <t xml:space="preserve">Update smarts sheet </t>
  </si>
  <si>
    <t>Straight Hood 1 Weight</t>
  </si>
  <si>
    <t>Straight Hood 2 Weight</t>
  </si>
  <si>
    <t>Return Weight</t>
  </si>
  <si>
    <t>Total Weight</t>
  </si>
  <si>
    <t>TOTALS</t>
  </si>
  <si>
    <t>DISPATCH WORKS ORDER</t>
  </si>
  <si>
    <t xml:space="preserve">JOB: </t>
  </si>
  <si>
    <t># OF BOXES:</t>
  </si>
  <si>
    <t># OF HOODS</t>
  </si>
  <si>
    <t xml:space="preserve">BOX ORDER - TO CUT </t>
  </si>
  <si>
    <t>TARGET TIME:
(MINUTES)</t>
  </si>
  <si>
    <t>EMPLOYEE:</t>
  </si>
  <si>
    <t>START TIME:</t>
  </si>
  <si>
    <t>FINISH TIME:</t>
  </si>
  <si>
    <t xml:space="preserve">CHECKLIST </t>
  </si>
  <si>
    <t>□</t>
  </si>
  <si>
    <t>IN SMARTSHEET, UPDATE BOXING STATUS TO "BOX MADE"</t>
  </si>
  <si>
    <t xml:space="preserve">IN SMARTSHEET, ENTER "DATE BOX MADE" </t>
  </si>
  <si>
    <t>EMPLOYEE/S:</t>
  </si>
  <si>
    <t>RECOATS REQUIRED:</t>
  </si>
  <si>
    <t xml:space="preserve">BOX PACKING </t>
  </si>
  <si>
    <t>JOB #</t>
  </si>
  <si>
    <t>Initial</t>
  </si>
  <si>
    <t>EMPLOYEE(S):</t>
  </si>
  <si>
    <t>TARGET TIME (MIN):</t>
  </si>
  <si>
    <t xml:space="preserve">Numerical order </t>
  </si>
  <si>
    <t xml:space="preserve">Box making order </t>
  </si>
  <si>
    <t xml:space="preserve">WHAT CHANGED </t>
  </si>
  <si>
    <t xml:space="preserve">CREATED 
DATE </t>
  </si>
  <si>
    <t xml:space="preserve">CREATED 
BY WHO </t>
  </si>
  <si>
    <t xml:space="preserve">ROLL OUT 
 DATE </t>
  </si>
  <si>
    <t xml:space="preserve">ROLLED OUT 
BY WHO </t>
  </si>
  <si>
    <t>Cat Millar</t>
  </si>
  <si>
    <t xml:space="preserve">REVISION / VERSION  </t>
  </si>
  <si>
    <t xml:space="preserve">Label order and row QTY </t>
  </si>
  <si>
    <t>Cat</t>
  </si>
  <si>
    <t>H-Section</t>
  </si>
  <si>
    <t>Joiner</t>
  </si>
  <si>
    <t>Has the whole order been received, review on smartsheet</t>
  </si>
  <si>
    <t>Are all stickers on each box and match the job number (Address labels and box stickers)</t>
  </si>
  <si>
    <t>Are there photos of each of the hoods in the box</t>
  </si>
  <si>
    <t>H-SECTION &amp; JOINERS</t>
  </si>
  <si>
    <t>QTY H+J:</t>
  </si>
  <si>
    <t>Box Number the H+J are packed into:</t>
  </si>
  <si>
    <t>Are there photos of the H-Section &amp; Joiners in the box its packed in</t>
  </si>
  <si>
    <t>Are there photos of the pallet packed and stapped inc. whiteboard with measurments</t>
  </si>
  <si>
    <t xml:space="preserve">How many pallets are there for this order and are they entered into smartsheet </t>
  </si>
  <si>
    <r>
      <rPr>
        <b/>
        <sz val="11"/>
        <color theme="1"/>
        <rFont val="Century Gothic"/>
        <family val="2"/>
      </rPr>
      <t xml:space="preserve">IF REQUIRED: </t>
    </r>
    <r>
      <rPr>
        <sz val="11"/>
        <color theme="1"/>
        <rFont val="Century Gothic"/>
        <family val="2"/>
      </rPr>
      <t>Are cover plates and touch up cans packed</t>
    </r>
  </si>
  <si>
    <t>Update boxing status to "Boxed" and enter "Date boxed" in smartsheet</t>
  </si>
  <si>
    <r>
      <t xml:space="preserve">Ensure consignments note labels are attached to the correct pallets, </t>
    </r>
    <r>
      <rPr>
        <b/>
        <sz val="11"/>
        <color theme="1"/>
        <rFont val="Century Gothic"/>
        <family val="2"/>
      </rPr>
      <t>in advance of the truck arriving</t>
    </r>
  </si>
  <si>
    <t xml:space="preserve">Take a photo of the box order and attch to smartsheet </t>
  </si>
  <si>
    <t>Has the QA box in smartsheet been checked</t>
  </si>
  <si>
    <t xml:space="preserve">  </t>
  </si>
  <si>
    <t>RECOAT CHECKLIST</t>
  </si>
  <si>
    <t>DOES THIS ORDER HAVE RECOATS ('Y' OR 'N')</t>
  </si>
  <si>
    <t>RECOAT RETURN DATE:</t>
  </si>
  <si>
    <t>FINAL PC QA CHECK</t>
  </si>
  <si>
    <t>COLOUR CHECK:</t>
  </si>
  <si>
    <t>Initial (checking box order)</t>
  </si>
  <si>
    <t>Initial (creating box order)</t>
  </si>
  <si>
    <t>1 &amp; 2</t>
  </si>
  <si>
    <t>XP0096 - Express by Heka Hoods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</si>
</sst>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2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entury Gothic"/>
      <family val="1"/>
    </font>
    <font>
      <b/>
      <sz val="14"/>
      <color theme="1"/>
      <name val="Calibri"/>
      <family val="2"/>
      <scheme val="minor"/>
    </font>
    <font>
      <b/>
      <sz val="14"/>
      <color theme="1"/>
      <name val="Century Gothic"/>
      <family val="2"/>
    </font>
    <font>
      <b/>
      <sz val="18"/>
      <color theme="1"/>
      <name val="Century Gothic"/>
      <family val="2"/>
    </font>
    <font>
      <sz val="12"/>
      <color theme="1"/>
      <name val="Calibri"/>
      <family val="2"/>
      <scheme val="minor"/>
    </font>
    <font>
      <sz val="14"/>
      <color theme="1"/>
      <name val="Century Gothic"/>
      <family val="2"/>
    </font>
    <font>
      <b/>
      <sz val="24"/>
      <color theme="1"/>
      <name val="Century Gothic"/>
      <family val="2"/>
    </font>
    <font>
      <b/>
      <sz val="16"/>
      <color rgb="FFFF0000"/>
      <name val="Century Gothic"/>
      <family val="2"/>
    </font>
    <font>
      <sz val="12"/>
      <color theme="1"/>
      <name val="Century Gothic"/>
      <family val="2"/>
    </font>
    <font>
      <sz val="8"/>
      <name val="Calibri"/>
      <family val="2"/>
      <scheme val="minor"/>
    </font>
    <font>
      <sz val="16"/>
      <color theme="1"/>
      <name val="Century Gothic"/>
      <family val="2"/>
    </font>
    <font>
      <b/>
      <sz val="16"/>
      <color theme="1"/>
      <name val="Century Gothic"/>
      <family val="2"/>
    </font>
    <font>
      <b/>
      <sz val="20"/>
      <color theme="1"/>
      <name val="Century Gothic"/>
      <family val="2"/>
    </font>
    <font>
      <sz val="20"/>
      <color rgb="FFFF0000"/>
      <name val="Century Gothic"/>
      <family val="2"/>
    </font>
    <font>
      <b/>
      <sz val="45"/>
      <color theme="1"/>
      <name val="Calibri"/>
      <family val="2"/>
      <scheme val="minor"/>
    </font>
    <font>
      <sz val="45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2"/>
      <color theme="1"/>
      <name val="Century Gothic"/>
      <family val="2"/>
    </font>
    <font>
      <b/>
      <sz val="11"/>
      <color theme="1"/>
      <name val="Century Gothic"/>
      <family val="2"/>
    </font>
    <font>
      <b/>
      <sz val="18"/>
      <color rgb="FF222222"/>
      <name val="Century Gothic"/>
      <family val="2"/>
    </font>
    <font>
      <b/>
      <sz val="45"/>
      <color theme="0"/>
      <name val="Calibri"/>
      <family val="2"/>
      <scheme val="minor"/>
    </font>
    <font>
      <b/>
      <sz val="12"/>
      <color theme="0"/>
      <name val="Century Gothic"/>
      <family val="2"/>
    </font>
    <font>
      <sz val="14"/>
      <color theme="1"/>
      <name val="Century Gothic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0" tint="-0.34998626667073579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theme="0" tint="-0.34998626667073579"/>
      </bottom>
      <diagonal/>
    </border>
    <border>
      <left/>
      <right style="thin">
        <color indexed="64"/>
      </right>
      <top/>
      <bottom style="thin">
        <color theme="0" tint="-0.34998626667073579"/>
      </bottom>
      <diagonal/>
    </border>
  </borders>
  <cellStyleXfs count="3">
    <xf numFmtId="0" fontId="0" fillId="0" borderId="0"/>
    <xf numFmtId="43" fontId="6" fillId="0" borderId="0" applyFont="0" applyFill="0" applyBorder="0" applyAlignment="0" applyProtection="0"/>
    <xf numFmtId="0" fontId="1" fillId="0" borderId="0"/>
  </cellStyleXfs>
  <cellXfs count="148">
    <xf numFmtId="0" fontId="0" fillId="0" borderId="0" xfId="0"/>
    <xf numFmtId="1" fontId="2" fillId="0" borderId="1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0" fontId="10" fillId="0" borderId="0" xfId="0" applyFont="1" applyAlignment="1">
      <alignment horizontal="left" vertical="center" indent="1"/>
    </xf>
    <xf numFmtId="0" fontId="10" fillId="4" borderId="0" xfId="0" applyFont="1" applyFill="1" applyAlignment="1">
      <alignment horizontal="left" vertical="center" indent="1"/>
    </xf>
    <xf numFmtId="0" fontId="10" fillId="4" borderId="0" xfId="0" applyFont="1" applyFill="1" applyAlignment="1">
      <alignment horizontal="right" vertical="center" indent="1"/>
    </xf>
    <xf numFmtId="0" fontId="4" fillId="2" borderId="4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4" fillId="3" borderId="4" xfId="0" applyFont="1" applyFill="1" applyBorder="1" applyAlignment="1">
      <alignment vertical="center"/>
    </xf>
    <xf numFmtId="0" fontId="12" fillId="6" borderId="4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13" fillId="6" borderId="7" xfId="0" applyFont="1" applyFill="1" applyBorder="1" applyAlignment="1">
      <alignment vertical="center"/>
    </xf>
    <xf numFmtId="0" fontId="13" fillId="6" borderId="6" xfId="0" applyFont="1" applyFill="1" applyBorder="1" applyAlignment="1">
      <alignment vertical="center"/>
    </xf>
    <xf numFmtId="0" fontId="12" fillId="6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43" fontId="5" fillId="4" borderId="4" xfId="1" applyFont="1" applyFill="1" applyBorder="1" applyAlignment="1">
      <alignment horizontal="center" vertical="center"/>
    </xf>
    <xf numFmtId="1" fontId="5" fillId="5" borderId="4" xfId="0" applyNumberFormat="1" applyFont="1" applyFill="1" applyBorder="1" applyAlignment="1">
      <alignment horizontal="center" vertical="center"/>
    </xf>
    <xf numFmtId="43" fontId="5" fillId="5" borderId="4" xfId="1" applyFont="1" applyFill="1" applyBorder="1" applyAlignment="1">
      <alignment horizontal="center" vertical="center"/>
    </xf>
    <xf numFmtId="0" fontId="14" fillId="5" borderId="8" xfId="0" applyFont="1" applyFill="1" applyBorder="1" applyAlignment="1">
      <alignment horizontal="center" vertical="center"/>
    </xf>
    <xf numFmtId="43" fontId="5" fillId="0" borderId="4" xfId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vertical="center"/>
    </xf>
    <xf numFmtId="0" fontId="8" fillId="2" borderId="6" xfId="0" applyFont="1" applyFill="1" applyBorder="1" applyAlignment="1">
      <alignment vertical="center"/>
    </xf>
    <xf numFmtId="0" fontId="8" fillId="2" borderId="7" xfId="0" applyFont="1" applyFill="1" applyBorder="1" applyAlignment="1">
      <alignment horizontal="center" vertical="center"/>
    </xf>
    <xf numFmtId="0" fontId="16" fillId="0" borderId="0" xfId="0" applyFont="1" applyAlignment="1">
      <alignment horizontal="center" wrapText="1"/>
    </xf>
    <xf numFmtId="0" fontId="17" fillId="0" borderId="0" xfId="0" applyFont="1"/>
    <xf numFmtId="0" fontId="16" fillId="0" borderId="0" xfId="0" applyFont="1"/>
    <xf numFmtId="0" fontId="5" fillId="4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 indent="1"/>
    </xf>
    <xf numFmtId="0" fontId="7" fillId="4" borderId="4" xfId="0" applyFont="1" applyFill="1" applyBorder="1" applyAlignment="1">
      <alignment horizontal="left" vertical="center" indent="1"/>
    </xf>
    <xf numFmtId="0" fontId="10" fillId="4" borderId="0" xfId="0" applyFont="1" applyFill="1" applyAlignment="1">
      <alignment horizontal="left"/>
    </xf>
    <xf numFmtId="0" fontId="7" fillId="4" borderId="0" xfId="0" applyFont="1" applyFill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18" fillId="4" borderId="0" xfId="2" applyFont="1" applyFill="1"/>
    <xf numFmtId="0" fontId="13" fillId="4" borderId="0" xfId="2" applyFont="1" applyFill="1" applyAlignment="1">
      <alignment vertical="center"/>
    </xf>
    <xf numFmtId="0" fontId="7" fillId="4" borderId="0" xfId="2" applyFont="1" applyFill="1" applyAlignment="1">
      <alignment vertical="center"/>
    </xf>
    <xf numFmtId="0" fontId="7" fillId="4" borderId="0" xfId="2" applyFont="1" applyFill="1" applyAlignment="1">
      <alignment horizontal="right" vertical="center"/>
    </xf>
    <xf numFmtId="0" fontId="12" fillId="4" borderId="0" xfId="2" applyFont="1" applyFill="1" applyAlignment="1">
      <alignment vertical="center"/>
    </xf>
    <xf numFmtId="0" fontId="18" fillId="4" borderId="0" xfId="2" applyFont="1" applyFill="1" applyAlignment="1">
      <alignment vertical="center"/>
    </xf>
    <xf numFmtId="0" fontId="7" fillId="4" borderId="0" xfId="2" applyFont="1" applyFill="1" applyAlignment="1">
      <alignment horizontal="left" vertical="center"/>
    </xf>
    <xf numFmtId="0" fontId="19" fillId="5" borderId="1" xfId="2" applyFont="1" applyFill="1" applyBorder="1" applyAlignment="1">
      <alignment vertical="center"/>
    </xf>
    <xf numFmtId="0" fontId="7" fillId="4" borderId="16" xfId="2" applyFont="1" applyFill="1" applyBorder="1"/>
    <xf numFmtId="0" fontId="18" fillId="4" borderId="16" xfId="2" applyFont="1" applyFill="1" applyBorder="1" applyAlignment="1">
      <alignment vertical="center"/>
    </xf>
    <xf numFmtId="0" fontId="7" fillId="4" borderId="22" xfId="2" applyFont="1" applyFill="1" applyBorder="1" applyAlignment="1">
      <alignment vertical="center"/>
    </xf>
    <xf numFmtId="0" fontId="7" fillId="4" borderId="23" xfId="2" applyFont="1" applyFill="1" applyBorder="1"/>
    <xf numFmtId="0" fontId="18" fillId="4" borderId="23" xfId="2" applyFont="1" applyFill="1" applyBorder="1" applyAlignment="1">
      <alignment vertical="center"/>
    </xf>
    <xf numFmtId="0" fontId="7" fillId="4" borderId="22" xfId="2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4" borderId="0" xfId="0" applyFont="1" applyFill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12" fillId="4" borderId="0" xfId="0" applyFont="1" applyFill="1" applyAlignment="1">
      <alignment horizontal="left" vertical="center" indent="1"/>
    </xf>
    <xf numFmtId="0" fontId="14" fillId="0" borderId="0" xfId="0" applyFont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1" fontId="7" fillId="4" borderId="4" xfId="0" applyNumberFormat="1" applyFont="1" applyFill="1" applyBorder="1" applyAlignment="1">
      <alignment horizontal="center" vertical="center"/>
    </xf>
    <xf numFmtId="1" fontId="10" fillId="4" borderId="4" xfId="0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4" xfId="1" applyNumberFormat="1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1" fontId="10" fillId="5" borderId="4" xfId="0" applyNumberFormat="1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1" fontId="7" fillId="5" borderId="4" xfId="0" applyNumberFormat="1" applyFont="1" applyFill="1" applyBorder="1" applyAlignment="1">
      <alignment horizontal="center" vertical="center"/>
    </xf>
    <xf numFmtId="0" fontId="7" fillId="5" borderId="4" xfId="1" applyNumberFormat="1" applyFont="1" applyFill="1" applyBorder="1" applyAlignment="1">
      <alignment horizontal="center" vertical="center"/>
    </xf>
    <xf numFmtId="0" fontId="21" fillId="5" borderId="4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22" fillId="8" borderId="22" xfId="0" applyFont="1" applyFill="1" applyBorder="1" applyAlignment="1">
      <alignment horizontal="center" vertical="center" wrapText="1"/>
    </xf>
    <xf numFmtId="0" fontId="23" fillId="9" borderId="22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left" vertical="center"/>
    </xf>
    <xf numFmtId="14" fontId="10" fillId="0" borderId="22" xfId="0" applyNumberFormat="1" applyFont="1" applyBorder="1" applyAlignment="1">
      <alignment horizontal="left" vertical="center"/>
    </xf>
    <xf numFmtId="0" fontId="10" fillId="0" borderId="22" xfId="0" applyFont="1" applyBorder="1" applyAlignment="1">
      <alignment horizontal="center"/>
    </xf>
    <xf numFmtId="0" fontId="10" fillId="0" borderId="22" xfId="0" applyFont="1" applyBorder="1" applyAlignment="1">
      <alignment horizontal="left"/>
    </xf>
    <xf numFmtId="0" fontId="10" fillId="0" borderId="22" xfId="0" applyFont="1" applyBorder="1" applyAlignment="1">
      <alignment horizontal="left" vertical="center" wrapText="1"/>
    </xf>
    <xf numFmtId="17" fontId="10" fillId="0" borderId="22" xfId="0" applyNumberFormat="1" applyFont="1" applyBorder="1" applyAlignment="1">
      <alignment horizontal="center" vertical="center"/>
    </xf>
    <xf numFmtId="0" fontId="8" fillId="7" borderId="5" xfId="0" applyFont="1" applyFill="1" applyBorder="1" applyAlignment="1">
      <alignment vertical="center"/>
    </xf>
    <xf numFmtId="0" fontId="20" fillId="5" borderId="17" xfId="2" applyFont="1" applyFill="1" applyBorder="1" applyAlignment="1">
      <alignment horizontal="left" vertical="center"/>
    </xf>
    <xf numFmtId="0" fontId="18" fillId="4" borderId="26" xfId="2" applyFont="1" applyFill="1" applyBorder="1" applyAlignment="1">
      <alignment vertical="center"/>
    </xf>
    <xf numFmtId="0" fontId="18" fillId="4" borderId="27" xfId="2" applyFont="1" applyFill="1" applyBorder="1" applyAlignment="1">
      <alignment vertical="center"/>
    </xf>
    <xf numFmtId="0" fontId="20" fillId="2" borderId="18" xfId="2" applyFont="1" applyFill="1" applyBorder="1" applyAlignment="1">
      <alignment horizontal="left" vertical="center"/>
    </xf>
    <xf numFmtId="0" fontId="18" fillId="4" borderId="11" xfId="2" applyFont="1" applyFill="1" applyBorder="1" applyAlignment="1">
      <alignment horizontal="center" vertical="center"/>
    </xf>
    <xf numFmtId="0" fontId="18" fillId="4" borderId="12" xfId="2" applyFont="1" applyFill="1" applyBorder="1" applyAlignment="1">
      <alignment horizontal="center" vertical="center"/>
    </xf>
    <xf numFmtId="1" fontId="24" fillId="4" borderId="4" xfId="0" applyNumberFormat="1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4" fillId="5" borderId="9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0" fillId="0" borderId="0" xfId="0" applyFont="1" applyAlignment="1">
      <alignment horizontal="left" vertical="center" indent="1"/>
    </xf>
    <xf numFmtId="0" fontId="8" fillId="2" borderId="4" xfId="0" applyFont="1" applyFill="1" applyBorder="1" applyAlignment="1">
      <alignment horizontal="center" vertical="center"/>
    </xf>
    <xf numFmtId="0" fontId="14" fillId="5" borderId="7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18" fillId="4" borderId="19" xfId="2" applyFont="1" applyFill="1" applyBorder="1" applyAlignment="1">
      <alignment horizontal="left"/>
    </xf>
    <xf numFmtId="0" fontId="18" fillId="4" borderId="20" xfId="2" applyFont="1" applyFill="1" applyBorder="1" applyAlignment="1">
      <alignment horizontal="left"/>
    </xf>
    <xf numFmtId="0" fontId="18" fillId="4" borderId="21" xfId="2" applyFont="1" applyFill="1" applyBorder="1" applyAlignment="1">
      <alignment horizontal="left"/>
    </xf>
    <xf numFmtId="0" fontId="18" fillId="4" borderId="24" xfId="2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4" borderId="25" xfId="2" applyFont="1" applyFill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0" fillId="2" borderId="24" xfId="2" applyFont="1" applyFill="1" applyBorder="1" applyAlignment="1">
      <alignment horizontal="left" vertical="center"/>
    </xf>
    <xf numFmtId="0" fontId="20" fillId="2" borderId="25" xfId="2" applyFont="1" applyFill="1" applyBorder="1" applyAlignment="1">
      <alignment horizontal="left" vertical="center"/>
    </xf>
    <xf numFmtId="0" fontId="18" fillId="4" borderId="19" xfId="2" applyFont="1" applyFill="1" applyBorder="1" applyAlignment="1">
      <alignment horizontal="left" vertical="center" wrapText="1"/>
    </xf>
    <xf numFmtId="0" fontId="18" fillId="4" borderId="20" xfId="2" applyFont="1" applyFill="1" applyBorder="1" applyAlignment="1">
      <alignment horizontal="left" vertical="center" wrapText="1"/>
    </xf>
    <xf numFmtId="0" fontId="18" fillId="4" borderId="21" xfId="2" applyFont="1" applyFill="1" applyBorder="1" applyAlignment="1">
      <alignment horizontal="left" vertical="center" wrapText="1"/>
    </xf>
    <xf numFmtId="0" fontId="18" fillId="4" borderId="24" xfId="2" applyFont="1" applyFill="1" applyBorder="1" applyAlignment="1">
      <alignment horizontal="center" vertical="center"/>
    </xf>
    <xf numFmtId="0" fontId="18" fillId="4" borderId="25" xfId="2" applyFont="1" applyFill="1" applyBorder="1" applyAlignment="1">
      <alignment horizontal="center" vertical="center"/>
    </xf>
    <xf numFmtId="0" fontId="20" fillId="5" borderId="29" xfId="2" applyFont="1" applyFill="1" applyBorder="1" applyAlignment="1">
      <alignment horizontal="center" vertical="center" wrapText="1"/>
    </xf>
    <xf numFmtId="0" fontId="20" fillId="5" borderId="30" xfId="2" applyFont="1" applyFill="1" applyBorder="1" applyAlignment="1">
      <alignment horizontal="center" vertical="center" wrapText="1"/>
    </xf>
    <xf numFmtId="0" fontId="18" fillId="4" borderId="31" xfId="2" applyFont="1" applyFill="1" applyBorder="1" applyAlignment="1">
      <alignment horizontal="center" vertical="center"/>
    </xf>
    <xf numFmtId="0" fontId="18" fillId="4" borderId="32" xfId="2" applyFont="1" applyFill="1" applyBorder="1" applyAlignment="1">
      <alignment horizontal="center" vertical="center"/>
    </xf>
    <xf numFmtId="0" fontId="18" fillId="4" borderId="33" xfId="2" applyFont="1" applyFill="1" applyBorder="1" applyAlignment="1">
      <alignment horizontal="center" vertical="center"/>
    </xf>
    <xf numFmtId="0" fontId="18" fillId="4" borderId="34" xfId="2" applyFont="1" applyFill="1" applyBorder="1" applyAlignment="1">
      <alignment horizontal="center" vertical="center"/>
    </xf>
    <xf numFmtId="0" fontId="18" fillId="0" borderId="24" xfId="2" applyFont="1" applyBorder="1" applyAlignment="1">
      <alignment horizontal="center" vertical="center" wrapText="1"/>
    </xf>
    <xf numFmtId="0" fontId="18" fillId="0" borderId="25" xfId="2" applyFont="1" applyBorder="1" applyAlignment="1">
      <alignment horizontal="center" vertical="center" wrapText="1"/>
    </xf>
    <xf numFmtId="0" fontId="20" fillId="5" borderId="26" xfId="2" applyFont="1" applyFill="1" applyBorder="1" applyAlignment="1">
      <alignment horizontal="left" vertical="center" wrapText="1"/>
    </xf>
    <xf numFmtId="0" fontId="20" fillId="5" borderId="27" xfId="2" applyFont="1" applyFill="1" applyBorder="1" applyAlignment="1">
      <alignment horizontal="left" vertical="center" wrapText="1"/>
    </xf>
    <xf numFmtId="0" fontId="19" fillId="4" borderId="13" xfId="2" applyFont="1" applyFill="1" applyBorder="1" applyAlignment="1">
      <alignment horizontal="center" vertical="center"/>
    </xf>
    <xf numFmtId="0" fontId="19" fillId="4" borderId="15" xfId="2" applyFont="1" applyFill="1" applyBorder="1" applyAlignment="1">
      <alignment horizontal="center" vertical="center"/>
    </xf>
    <xf numFmtId="0" fontId="19" fillId="5" borderId="13" xfId="2" applyFont="1" applyFill="1" applyBorder="1" applyAlignment="1">
      <alignment horizontal="left" vertical="center"/>
    </xf>
    <xf numFmtId="0" fontId="19" fillId="5" borderId="15" xfId="2" applyFont="1" applyFill="1" applyBorder="1" applyAlignment="1">
      <alignment horizontal="left" vertical="center"/>
    </xf>
    <xf numFmtId="0" fontId="18" fillId="4" borderId="26" xfId="2" applyFont="1" applyFill="1" applyBorder="1" applyAlignment="1">
      <alignment horizontal="center" vertical="center"/>
    </xf>
    <xf numFmtId="0" fontId="18" fillId="4" borderId="27" xfId="2" applyFont="1" applyFill="1" applyBorder="1" applyAlignment="1">
      <alignment horizontal="center" vertical="center"/>
    </xf>
    <xf numFmtId="0" fontId="15" fillId="4" borderId="0" xfId="2" applyFont="1" applyFill="1" applyAlignment="1">
      <alignment horizontal="center" wrapText="1"/>
    </xf>
    <xf numFmtId="0" fontId="4" fillId="4" borderId="0" xfId="2" applyFont="1" applyFill="1" applyAlignment="1">
      <alignment horizontal="center" vertical="center" wrapText="1"/>
    </xf>
    <xf numFmtId="0" fontId="19" fillId="4" borderId="1" xfId="2" applyFont="1" applyFill="1" applyBorder="1" applyAlignment="1">
      <alignment horizontal="center" vertical="center"/>
    </xf>
    <xf numFmtId="0" fontId="18" fillId="5" borderId="27" xfId="2" applyFont="1" applyFill="1" applyBorder="1" applyAlignment="1">
      <alignment horizontal="left" vertical="center" wrapText="1"/>
    </xf>
    <xf numFmtId="0" fontId="20" fillId="2" borderId="24" xfId="2" applyFont="1" applyFill="1" applyBorder="1" applyAlignment="1">
      <alignment horizontal="left" vertical="center" wrapText="1"/>
    </xf>
    <xf numFmtId="0" fontId="20" fillId="2" borderId="25" xfId="2" applyFont="1" applyFill="1" applyBorder="1" applyAlignment="1">
      <alignment horizontal="left" vertical="center" wrapText="1"/>
    </xf>
    <xf numFmtId="0" fontId="18" fillId="0" borderId="28" xfId="2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D9580A3B-E0FE-4D81-ACB6-4E8497592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154999</xdr:colOff>
      <xdr:row>0</xdr:row>
      <xdr:rowOff>0</xdr:rowOff>
    </xdr:from>
    <xdr:to>
      <xdr:col>5</xdr:col>
      <xdr:colOff>1202898</xdr:colOff>
      <xdr:row>0</xdr:row>
      <xdr:rowOff>1697083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0CABC5-65C2-2D4C-8319-2A151434C91F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882363" y="0"/>
          <a:ext cx="2896712" cy="1700893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15</xdr:col>
      <xdr:colOff>154999</xdr:colOff>
      <xdr:row>0</xdr:row>
      <xdr:rowOff>0</xdr:rowOff>
    </xdr:from>
    <xdr:ext cx="2848221" cy="1700893"/>
    <xdr:pic>
      <xdr:nvPicPr>
        <xdr:cNvPr id="4" name="Picture 3">
          <a:extLst>
            <a:ext uri="{FF2B5EF4-FFF2-40B4-BE49-F238E27FC236}">
              <a16:creationId xmlns:a16="http://schemas.microsoft.com/office/drawing/2014/main" id="{62C46988-E4BD-4925-88C0-149D2CCB5D07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 bwMode="auto">
        <a:xfrm>
          <a:off x="2040949" y="0"/>
          <a:ext cx="2848221" cy="1700893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962026</xdr:colOff>
      <xdr:row>0</xdr:row>
      <xdr:rowOff>38101</xdr:rowOff>
    </xdr:from>
    <xdr:ext cx="1466849" cy="853979"/>
    <xdr:pic>
      <xdr:nvPicPr>
        <xdr:cNvPr id="2" name="Picture 1" descr="HH_FORM HEADER_LEFT_HR">
          <a:extLst>
            <a:ext uri="{FF2B5EF4-FFF2-40B4-BE49-F238E27FC236}">
              <a16:creationId xmlns:a16="http://schemas.microsoft.com/office/drawing/2014/main" id="{9AB6EB3F-3E49-433A-B5A7-84531F3B0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1" y="38101"/>
          <a:ext cx="1466849" cy="853979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3DCAA-BA40-404D-AB76-E8E1DA290956}">
  <sheetPr>
    <pageSetUpPr fitToPage="1"/>
  </sheetPr>
  <dimension ref="A1:AD292"/>
  <sheetViews>
    <sheetView tabSelected="1" showWhiteSpace="0" topLeftCell="D1" zoomScale="57" zoomScaleNormal="57" zoomScalePageLayoutView="25" workbookViewId="0">
      <selection activeCell="J8" sqref="J8"/>
    </sheetView>
  </sheetViews>
  <sheetFormatPr defaultColWidth="14.5" defaultRowHeight="17.25" x14ac:dyDescent="0.25"/>
  <cols>
    <col min="1" max="1" width="32.5" style="10" hidden="1" customWidth="1"/>
    <col min="2" max="2" width="25" style="10" hidden="1" customWidth="1"/>
    <col min="3" max="3" width="11.125" style="11" hidden="1" customWidth="1"/>
    <col min="4" max="4" width="11" style="10" customWidth="1"/>
    <col min="5" max="5" width="12.5" style="10" customWidth="1"/>
    <col min="6" max="6" width="23.625" style="10" customWidth="1"/>
    <col min="7" max="7" width="19.75" style="10" customWidth="1"/>
    <col min="8" max="8" width="19" style="10" customWidth="1"/>
    <col min="9" max="9" width="25.25" style="10" customWidth="1"/>
    <col min="10" max="12" width="14.5" style="10"/>
    <col min="13" max="13" width="23.5" style="10" customWidth="1"/>
    <col min="14" max="14" width="14.5" style="11"/>
    <col min="15" max="15" width="7.875" style="11" customWidth="1"/>
    <col min="16" max="16" width="11.125" style="10" customWidth="1"/>
    <col min="17" max="17" width="13" style="10" customWidth="1"/>
    <col min="18" max="18" width="14.5" style="10"/>
    <col min="19" max="19" width="19.25" style="10" customWidth="1"/>
    <col min="20" max="20" width="15.75" style="10" customWidth="1"/>
    <col min="21" max="21" width="26.375" style="10" customWidth="1"/>
    <col min="22" max="24" width="14.5" style="10"/>
    <col min="25" max="25" width="25.75" style="10" customWidth="1"/>
    <col min="26" max="30" width="14.5" style="11"/>
    <col min="31" max="16384" width="14.5" style="10"/>
  </cols>
  <sheetData>
    <row r="1" spans="1:30" ht="142.5" customHeight="1" x14ac:dyDescent="0.25">
      <c r="D1" s="103" t="s">
        <v>81</v>
      </c>
      <c r="E1" s="103"/>
      <c r="F1" s="103"/>
      <c r="G1" s="103"/>
      <c r="H1" s="36"/>
      <c r="I1" s="106" t="s">
        <v>0</v>
      </c>
      <c r="J1" s="106"/>
      <c r="K1" s="106"/>
      <c r="L1" s="106"/>
      <c r="M1" s="106"/>
      <c r="N1" s="58"/>
      <c r="P1" s="103"/>
      <c r="Q1" s="103"/>
      <c r="R1" s="103"/>
      <c r="S1" s="103"/>
      <c r="T1" s="36"/>
      <c r="U1" s="106" t="s">
        <v>0</v>
      </c>
      <c r="V1" s="106"/>
      <c r="W1" s="106"/>
      <c r="X1" s="106"/>
      <c r="Y1" s="106"/>
    </row>
    <row r="2" spans="1:30" ht="64.5" customHeight="1" x14ac:dyDescent="0.25">
      <c r="D2" s="83" t="s">
        <v>90</v>
      </c>
      <c r="E2" s="29"/>
      <c r="F2" s="29"/>
      <c r="G2" s="29"/>
      <c r="H2" s="29"/>
      <c r="I2" s="31"/>
      <c r="J2" s="31"/>
      <c r="K2" s="31"/>
      <c r="L2" s="31"/>
      <c r="M2" s="30"/>
      <c r="N2" s="35"/>
      <c r="P2" s="108" t="str">
        <f>D2</f>
        <v>XP0096 - Express by Heka Hoods</v>
      </c>
      <c r="Q2" s="108"/>
      <c r="R2" s="108"/>
      <c r="S2" s="108"/>
      <c r="T2" s="108"/>
      <c r="U2" s="108"/>
      <c r="V2" s="108"/>
      <c r="W2" s="108"/>
      <c r="X2" s="108"/>
      <c r="Y2" s="108"/>
    </row>
    <row r="3" spans="1:30" s="59" customFormat="1" ht="39.75" customHeight="1" x14ac:dyDescent="0.25">
      <c r="C3" s="60"/>
      <c r="D3" s="17"/>
      <c r="E3" s="17"/>
      <c r="F3" s="18" t="s">
        <v>1</v>
      </c>
      <c r="G3" s="18" t="s">
        <v>2</v>
      </c>
      <c r="H3" s="18" t="s">
        <v>3</v>
      </c>
      <c r="I3" s="18" t="s">
        <v>4</v>
      </c>
      <c r="J3" s="19" t="s">
        <v>5</v>
      </c>
      <c r="K3" s="19"/>
      <c r="L3" s="20"/>
      <c r="M3" s="21"/>
      <c r="N3" s="60"/>
      <c r="O3" s="60"/>
      <c r="P3" s="17"/>
      <c r="Q3" s="17"/>
      <c r="R3" s="18" t="s">
        <v>1</v>
      </c>
      <c r="S3" s="18" t="s">
        <v>2</v>
      </c>
      <c r="T3" s="18" t="s">
        <v>3</v>
      </c>
      <c r="U3" s="18" t="s">
        <v>4</v>
      </c>
      <c r="V3" s="19" t="s">
        <v>5</v>
      </c>
      <c r="W3" s="19"/>
      <c r="X3" s="20"/>
      <c r="Y3" s="21"/>
      <c r="Z3" s="60"/>
      <c r="AA3" s="60"/>
      <c r="AB3" s="60"/>
      <c r="AC3" s="60"/>
      <c r="AD3" s="60"/>
    </row>
    <row r="4" spans="1:30" s="61" customFormat="1" ht="30" customHeight="1" x14ac:dyDescent="0.25">
      <c r="C4" s="62"/>
      <c r="D4" s="27"/>
      <c r="E4" s="27"/>
      <c r="F4" s="27">
        <v>4</v>
      </c>
      <c r="G4" s="27">
        <v>1</v>
      </c>
      <c r="H4" s="27">
        <v>1</v>
      </c>
      <c r="I4" s="27"/>
      <c r="J4" s="104"/>
      <c r="K4" s="104"/>
      <c r="L4" s="105"/>
      <c r="M4" s="27"/>
      <c r="N4" s="62"/>
      <c r="O4" s="62"/>
      <c r="P4" s="22"/>
      <c r="Q4" s="22"/>
      <c r="R4" s="22">
        <f>F4</f>
        <v>4</v>
      </c>
      <c r="S4" s="22">
        <f>G4</f>
        <v>1</v>
      </c>
      <c r="T4" s="22">
        <f>H4</f>
        <v>1</v>
      </c>
      <c r="U4" s="22">
        <f>I4</f>
        <v>0</v>
      </c>
      <c r="V4" s="109">
        <f>J4</f>
        <v>0</v>
      </c>
      <c r="W4" s="109"/>
      <c r="X4" s="110"/>
      <c r="Y4" s="22"/>
      <c r="Z4" s="62"/>
      <c r="AA4" s="62"/>
      <c r="AB4" s="62"/>
      <c r="AC4" s="62"/>
      <c r="AD4" s="62"/>
    </row>
    <row r="5" spans="1:30" ht="42.75" customHeight="1" x14ac:dyDescent="0.25">
      <c r="D5" s="97"/>
      <c r="E5" s="98"/>
      <c r="F5" s="98"/>
      <c r="G5" s="98"/>
      <c r="H5" s="98"/>
      <c r="I5" s="98"/>
      <c r="J5" s="98"/>
      <c r="K5" s="98"/>
      <c r="L5" s="98"/>
      <c r="M5" s="99"/>
      <c r="P5" s="97" t="s">
        <v>6</v>
      </c>
      <c r="Q5" s="98"/>
      <c r="R5" s="98"/>
      <c r="S5" s="98"/>
      <c r="T5" s="98"/>
      <c r="U5" s="98"/>
      <c r="V5" s="98"/>
      <c r="W5" s="98"/>
      <c r="X5" s="98"/>
      <c r="Y5" s="99"/>
    </row>
    <row r="6" spans="1:30" ht="28.35" customHeight="1" x14ac:dyDescent="0.25">
      <c r="D6" s="36"/>
      <c r="E6" s="36"/>
      <c r="F6" s="36"/>
      <c r="G6" s="36"/>
      <c r="H6" s="36"/>
      <c r="I6" s="36"/>
      <c r="J6" s="36"/>
      <c r="K6" s="101" t="s">
        <v>7</v>
      </c>
      <c r="L6" s="102"/>
      <c r="M6" s="39"/>
      <c r="P6" s="11"/>
      <c r="Q6" s="11"/>
      <c r="R6" s="11"/>
      <c r="S6" s="11"/>
      <c r="T6" s="11"/>
      <c r="U6" s="11"/>
      <c r="V6" s="11"/>
      <c r="W6" s="111" t="s">
        <v>7</v>
      </c>
      <c r="X6" s="112"/>
      <c r="Y6" s="11"/>
    </row>
    <row r="7" spans="1:30" ht="51" customHeight="1" x14ac:dyDescent="0.25">
      <c r="A7" s="10" t="s">
        <v>50</v>
      </c>
      <c r="D7" s="42" t="s">
        <v>8</v>
      </c>
      <c r="E7" s="42" t="s">
        <v>9</v>
      </c>
      <c r="F7" s="42" t="s">
        <v>10</v>
      </c>
      <c r="G7" s="42" t="s">
        <v>11</v>
      </c>
      <c r="H7" s="42" t="s">
        <v>12</v>
      </c>
      <c r="I7" s="42" t="s">
        <v>13</v>
      </c>
      <c r="J7" s="42" t="s">
        <v>14</v>
      </c>
      <c r="K7" s="13" t="s">
        <v>15</v>
      </c>
      <c r="L7" s="13" t="s">
        <v>16</v>
      </c>
      <c r="M7" s="63" t="s">
        <v>17</v>
      </c>
      <c r="P7" s="63" t="str" cm="1">
        <f t="array" ref="P7:Y117">_xlfn._xlws.SORT(D7:M117,8,-1,FALSE)</f>
        <v>BOX #</v>
      </c>
      <c r="Q7" s="63" t="str">
        <v>#</v>
      </c>
      <c r="R7" s="63" t="str">
        <v>HOOD 1D</v>
      </c>
      <c r="S7" s="63" t="str">
        <v>DEPTH</v>
      </c>
      <c r="T7" s="63" t="str">
        <v>LENGTH H1</v>
      </c>
      <c r="U7" s="63" t="str">
        <v>LENGTH H2</v>
      </c>
      <c r="V7" s="63" t="str">
        <v>RETURNS</v>
      </c>
      <c r="W7" s="63" t="str">
        <v>BASE</v>
      </c>
      <c r="X7" s="63" t="str">
        <v>LID</v>
      </c>
      <c r="Y7" s="63" t="str">
        <v>SPECIAL REQUIREMENTS / NOTES</v>
      </c>
    </row>
    <row r="8" spans="1:30" ht="60" customHeight="1" x14ac:dyDescent="0.25">
      <c r="A8" s="10" t="str">
        <f t="shared" ref="A8:A19" si="0">IF(G8,_xlfn.TEXTBEFORE($D$2," -"),"")</f>
        <v>XP0096</v>
      </c>
      <c r="B8" s="10" t="s">
        <v>8</v>
      </c>
      <c r="D8" s="64">
        <v>1</v>
      </c>
      <c r="E8" s="65" t="s">
        <v>18</v>
      </c>
      <c r="F8" s="66" t="s">
        <v>89</v>
      </c>
      <c r="G8" s="64">
        <v>450</v>
      </c>
      <c r="H8" s="67">
        <v>1200</v>
      </c>
      <c r="I8" s="67">
        <v>1200</v>
      </c>
      <c r="J8" s="64">
        <v>0</v>
      </c>
      <c r="K8" s="68">
        <f>SUM(CALCULATIONS!B2)+(('BOX ORDER'!J8)*100)+350</f>
        <v>1550</v>
      </c>
      <c r="L8" s="23">
        <f t="shared" ref="L8:L9" si="1">SUM(K8+40)</f>
        <v>1590</v>
      </c>
      <c r="M8" s="14"/>
      <c r="P8" s="64">
        <v>1</v>
      </c>
      <c r="Q8" s="64" t="str">
        <v>HOODS</v>
      </c>
      <c r="R8" s="64" t="str">
        <v>1 &amp; 2</v>
      </c>
      <c r="S8" s="64">
        <v>450</v>
      </c>
      <c r="T8" s="64">
        <v>1200</v>
      </c>
      <c r="U8" s="64">
        <v>1200</v>
      </c>
      <c r="V8" s="64">
        <v>0</v>
      </c>
      <c r="W8" s="23">
        <v>1550</v>
      </c>
      <c r="X8" s="23">
        <v>1590</v>
      </c>
      <c r="Y8" s="28">
        <v>0</v>
      </c>
    </row>
    <row r="9" spans="1:30" ht="68.25" hidden="1" customHeight="1" x14ac:dyDescent="0.25">
      <c r="A9" s="10" t="str">
        <f t="shared" si="0"/>
        <v/>
      </c>
      <c r="B9" s="10" t="s">
        <v>8</v>
      </c>
      <c r="D9" s="64">
        <f>D8+1</f>
        <v>2</v>
      </c>
      <c r="E9" s="69" t="s">
        <v>18</v>
      </c>
      <c r="F9" s="70"/>
      <c r="G9" s="90"/>
      <c r="H9" s="72"/>
      <c r="I9" s="72"/>
      <c r="J9" s="71"/>
      <c r="K9" s="68">
        <f>SUM(CALCULATIONS!B3)+(('BOX ORDER'!J9)*100)+350</f>
        <v>350</v>
      </c>
      <c r="L9" s="23">
        <f t="shared" si="1"/>
        <v>390</v>
      </c>
      <c r="M9" s="25"/>
      <c r="P9" s="71">
        <v>2</v>
      </c>
      <c r="Q9" s="71" t="str">
        <v>HOODS</v>
      </c>
      <c r="R9" s="71">
        <v>0</v>
      </c>
      <c r="S9" s="71">
        <v>0</v>
      </c>
      <c r="T9" s="71">
        <v>0</v>
      </c>
      <c r="U9" s="71">
        <v>0</v>
      </c>
      <c r="V9" s="71">
        <v>0</v>
      </c>
      <c r="W9" s="25">
        <v>350</v>
      </c>
      <c r="X9" s="25">
        <v>390</v>
      </c>
      <c r="Y9" s="26">
        <v>0</v>
      </c>
    </row>
    <row r="10" spans="1:30" ht="60" hidden="1" customHeight="1" x14ac:dyDescent="0.25">
      <c r="A10" s="10" t="str">
        <f t="shared" si="0"/>
        <v/>
      </c>
      <c r="B10" s="10" t="s">
        <v>8</v>
      </c>
      <c r="D10" s="64">
        <f t="shared" ref="D10:D73" si="2">D9+1</f>
        <v>3</v>
      </c>
      <c r="E10" s="65" t="s">
        <v>18</v>
      </c>
      <c r="F10" s="66"/>
      <c r="G10" s="90"/>
      <c r="H10" s="67"/>
      <c r="I10" s="67"/>
      <c r="J10" s="64"/>
      <c r="K10" s="68">
        <f>SUM(CALCULATIONS!B4)+(('BOX ORDER'!J10)*100)+350</f>
        <v>350</v>
      </c>
      <c r="L10" s="23">
        <f t="shared" ref="L10:L14" si="3">SUM(K10+40)</f>
        <v>390</v>
      </c>
      <c r="M10" s="23"/>
      <c r="P10" s="64">
        <v>3</v>
      </c>
      <c r="Q10" s="64" t="str">
        <v>HOODS</v>
      </c>
      <c r="R10" s="64">
        <v>0</v>
      </c>
      <c r="S10" s="64">
        <v>0</v>
      </c>
      <c r="T10" s="64">
        <v>0</v>
      </c>
      <c r="U10" s="64">
        <v>0</v>
      </c>
      <c r="V10" s="64">
        <v>0</v>
      </c>
      <c r="W10" s="23">
        <v>350</v>
      </c>
      <c r="X10" s="23">
        <v>390</v>
      </c>
      <c r="Y10" s="24">
        <v>0</v>
      </c>
    </row>
    <row r="11" spans="1:30" ht="60" hidden="1" customHeight="1" x14ac:dyDescent="0.25">
      <c r="A11" s="10" t="str">
        <f t="shared" si="0"/>
        <v/>
      </c>
      <c r="B11" s="10" t="s">
        <v>8</v>
      </c>
      <c r="D11" s="64">
        <f t="shared" si="2"/>
        <v>4</v>
      </c>
      <c r="E11" s="69" t="s">
        <v>18</v>
      </c>
      <c r="F11" s="70"/>
      <c r="G11" s="90"/>
      <c r="H11" s="72"/>
      <c r="I11" s="72"/>
      <c r="J11" s="71"/>
      <c r="K11" s="73">
        <f>SUM(CALCULATIONS!B5)+(('BOX ORDER'!J11)*100)+350</f>
        <v>350</v>
      </c>
      <c r="L11" s="25">
        <f t="shared" si="3"/>
        <v>390</v>
      </c>
      <c r="M11" s="25"/>
      <c r="P11" s="71">
        <v>4</v>
      </c>
      <c r="Q11" s="71" t="str">
        <v>HOODS</v>
      </c>
      <c r="R11" s="71">
        <v>0</v>
      </c>
      <c r="S11" s="71">
        <v>0</v>
      </c>
      <c r="T11" s="71">
        <v>0</v>
      </c>
      <c r="U11" s="71">
        <v>0</v>
      </c>
      <c r="V11" s="71">
        <v>0</v>
      </c>
      <c r="W11" s="25">
        <v>350</v>
      </c>
      <c r="X11" s="25">
        <v>390</v>
      </c>
      <c r="Y11" s="26">
        <v>0</v>
      </c>
    </row>
    <row r="12" spans="1:30" ht="60" hidden="1" customHeight="1" x14ac:dyDescent="0.25">
      <c r="A12" s="10" t="str">
        <f t="shared" si="0"/>
        <v/>
      </c>
      <c r="B12" s="10" t="s">
        <v>8</v>
      </c>
      <c r="D12" s="64">
        <f t="shared" si="2"/>
        <v>5</v>
      </c>
      <c r="E12" s="65" t="s">
        <v>18</v>
      </c>
      <c r="F12" s="66"/>
      <c r="G12" s="64"/>
      <c r="H12" s="67"/>
      <c r="I12" s="67"/>
      <c r="J12" s="64"/>
      <c r="K12" s="68">
        <f>SUM(CALCULATIONS!B6)+(('BOX ORDER'!J12)*100)+350</f>
        <v>350</v>
      </c>
      <c r="L12" s="23">
        <f t="shared" si="3"/>
        <v>390</v>
      </c>
      <c r="M12" s="23"/>
      <c r="P12" s="64">
        <v>5</v>
      </c>
      <c r="Q12" s="64" t="str">
        <v>HOODS</v>
      </c>
      <c r="R12" s="64">
        <v>0</v>
      </c>
      <c r="S12" s="64">
        <v>0</v>
      </c>
      <c r="T12" s="64">
        <v>0</v>
      </c>
      <c r="U12" s="64">
        <v>0</v>
      </c>
      <c r="V12" s="64">
        <v>0</v>
      </c>
      <c r="W12" s="23">
        <v>350</v>
      </c>
      <c r="X12" s="23">
        <v>390</v>
      </c>
      <c r="Y12" s="24">
        <v>0</v>
      </c>
    </row>
    <row r="13" spans="1:30" ht="60" hidden="1" customHeight="1" x14ac:dyDescent="0.3">
      <c r="A13" s="10" t="str">
        <f t="shared" si="0"/>
        <v/>
      </c>
      <c r="B13" s="10" t="s">
        <v>8</v>
      </c>
      <c r="C13" s="38"/>
      <c r="D13" s="64">
        <f t="shared" si="2"/>
        <v>6</v>
      </c>
      <c r="E13" s="69" t="s">
        <v>18</v>
      </c>
      <c r="F13" s="70"/>
      <c r="G13" s="70"/>
      <c r="H13" s="72"/>
      <c r="I13" s="72"/>
      <c r="J13" s="71"/>
      <c r="K13" s="73">
        <f>SUM(CALCULATIONS!B7)+(('BOX ORDER'!J13)*100)+350</f>
        <v>350</v>
      </c>
      <c r="L13" s="25">
        <f t="shared" si="3"/>
        <v>390</v>
      </c>
      <c r="M13" s="25"/>
      <c r="P13" s="71">
        <v>6</v>
      </c>
      <c r="Q13" s="71" t="str">
        <v>HOODS</v>
      </c>
      <c r="R13" s="71">
        <v>0</v>
      </c>
      <c r="S13" s="71">
        <v>0</v>
      </c>
      <c r="T13" s="71">
        <v>0</v>
      </c>
      <c r="U13" s="71">
        <v>0</v>
      </c>
      <c r="V13" s="71">
        <v>0</v>
      </c>
      <c r="W13" s="25">
        <v>350</v>
      </c>
      <c r="X13" s="25">
        <v>390</v>
      </c>
      <c r="Y13" s="26">
        <v>0</v>
      </c>
    </row>
    <row r="14" spans="1:30" ht="60" hidden="1" customHeight="1" x14ac:dyDescent="0.25">
      <c r="A14" s="10" t="str">
        <f t="shared" si="0"/>
        <v/>
      </c>
      <c r="B14" s="10" t="s">
        <v>8</v>
      </c>
      <c r="D14" s="64">
        <f t="shared" si="2"/>
        <v>7</v>
      </c>
      <c r="E14" s="65" t="s">
        <v>18</v>
      </c>
      <c r="F14" s="66"/>
      <c r="G14" s="64"/>
      <c r="H14" s="67"/>
      <c r="I14" s="67"/>
      <c r="J14" s="64"/>
      <c r="K14" s="68">
        <f>SUM(CALCULATIONS!B8)+(('BOX ORDER'!J14)*100)+350</f>
        <v>350</v>
      </c>
      <c r="L14" s="23">
        <f t="shared" si="3"/>
        <v>390</v>
      </c>
      <c r="M14" s="23"/>
      <c r="P14" s="64">
        <v>7</v>
      </c>
      <c r="Q14" s="64" t="str">
        <v>HOODS</v>
      </c>
      <c r="R14" s="64">
        <v>0</v>
      </c>
      <c r="S14" s="64">
        <v>0</v>
      </c>
      <c r="T14" s="64">
        <v>0</v>
      </c>
      <c r="U14" s="64">
        <v>0</v>
      </c>
      <c r="V14" s="64">
        <v>0</v>
      </c>
      <c r="W14" s="23">
        <v>350</v>
      </c>
      <c r="X14" s="23">
        <v>390</v>
      </c>
      <c r="Y14" s="24">
        <v>0</v>
      </c>
    </row>
    <row r="15" spans="1:30" ht="60" hidden="1" customHeight="1" x14ac:dyDescent="0.25">
      <c r="A15" s="10" t="str">
        <f t="shared" si="0"/>
        <v/>
      </c>
      <c r="B15" s="10" t="s">
        <v>8</v>
      </c>
      <c r="D15" s="64">
        <f t="shared" si="2"/>
        <v>8</v>
      </c>
      <c r="E15" s="69" t="s">
        <v>18</v>
      </c>
      <c r="F15" s="70"/>
      <c r="G15" s="71"/>
      <c r="H15" s="72"/>
      <c r="I15" s="72"/>
      <c r="J15" s="71"/>
      <c r="K15" s="73">
        <f>SUM(CALCULATIONS!B9)+(('BOX ORDER'!J15)*100)+350</f>
        <v>350</v>
      </c>
      <c r="L15" s="25">
        <f t="shared" ref="L15:L16" si="4">SUM(K15+40)</f>
        <v>390</v>
      </c>
      <c r="M15" s="25"/>
      <c r="P15" s="71">
        <v>8</v>
      </c>
      <c r="Q15" s="71" t="str">
        <v>HOODS</v>
      </c>
      <c r="R15" s="71">
        <v>0</v>
      </c>
      <c r="S15" s="71">
        <v>0</v>
      </c>
      <c r="T15" s="71">
        <v>0</v>
      </c>
      <c r="U15" s="71">
        <v>0</v>
      </c>
      <c r="V15" s="71">
        <v>0</v>
      </c>
      <c r="W15" s="25">
        <v>350</v>
      </c>
      <c r="X15" s="25">
        <v>390</v>
      </c>
      <c r="Y15" s="26">
        <v>0</v>
      </c>
    </row>
    <row r="16" spans="1:30" ht="60" hidden="1" customHeight="1" x14ac:dyDescent="0.25">
      <c r="A16" s="10" t="str">
        <f t="shared" si="0"/>
        <v/>
      </c>
      <c r="B16" s="10" t="s">
        <v>8</v>
      </c>
      <c r="D16" s="64">
        <f t="shared" si="2"/>
        <v>9</v>
      </c>
      <c r="E16" s="65" t="s">
        <v>18</v>
      </c>
      <c r="F16" s="64"/>
      <c r="G16" s="57"/>
      <c r="H16" s="67"/>
      <c r="I16" s="67"/>
      <c r="J16" s="64"/>
      <c r="K16" s="68">
        <f>SUM(CALCULATIONS!B10)+(('BOX ORDER'!J16)*100)+350</f>
        <v>350</v>
      </c>
      <c r="L16" s="23">
        <f t="shared" si="4"/>
        <v>390</v>
      </c>
      <c r="M16" s="23"/>
      <c r="P16" s="64">
        <v>9</v>
      </c>
      <c r="Q16" s="64" t="str">
        <v>HOODS</v>
      </c>
      <c r="R16" s="64">
        <v>0</v>
      </c>
      <c r="S16" s="64">
        <v>0</v>
      </c>
      <c r="T16" s="64">
        <v>0</v>
      </c>
      <c r="U16" s="64">
        <v>0</v>
      </c>
      <c r="V16" s="64">
        <v>0</v>
      </c>
      <c r="W16" s="23">
        <v>350</v>
      </c>
      <c r="X16" s="23">
        <v>390</v>
      </c>
      <c r="Y16" s="24">
        <v>0</v>
      </c>
    </row>
    <row r="17" spans="1:25" ht="60" hidden="1" customHeight="1" x14ac:dyDescent="0.25">
      <c r="A17" s="10" t="str">
        <f t="shared" si="0"/>
        <v/>
      </c>
      <c r="B17" s="10" t="s">
        <v>8</v>
      </c>
      <c r="D17" s="64">
        <f t="shared" si="2"/>
        <v>10</v>
      </c>
      <c r="E17" s="65" t="s">
        <v>18</v>
      </c>
      <c r="F17" s="70"/>
      <c r="G17" s="71"/>
      <c r="H17" s="72"/>
      <c r="I17" s="72"/>
      <c r="J17" s="71"/>
      <c r="K17" s="68">
        <f>SUM(CALCULATIONS!B11)+(('BOX ORDER'!J17)*100)+350</f>
        <v>350</v>
      </c>
      <c r="L17" s="23">
        <f t="shared" ref="L17:L80" si="5">SUM(K17+40)</f>
        <v>390</v>
      </c>
      <c r="M17" s="23"/>
      <c r="P17" s="64">
        <v>10</v>
      </c>
      <c r="Q17" s="64" t="str">
        <v>HOODS</v>
      </c>
      <c r="R17" s="64">
        <v>0</v>
      </c>
      <c r="S17" s="64">
        <v>0</v>
      </c>
      <c r="T17" s="64">
        <v>0</v>
      </c>
      <c r="U17" s="64">
        <v>0</v>
      </c>
      <c r="V17" s="64">
        <v>0</v>
      </c>
      <c r="W17" s="23">
        <v>350</v>
      </c>
      <c r="X17" s="23">
        <v>390</v>
      </c>
      <c r="Y17" s="24">
        <v>0</v>
      </c>
    </row>
    <row r="18" spans="1:25" ht="60" hidden="1" customHeight="1" x14ac:dyDescent="0.25">
      <c r="A18" s="10" t="str">
        <f t="shared" si="0"/>
        <v/>
      </c>
      <c r="B18" s="10" t="s">
        <v>8</v>
      </c>
      <c r="D18" s="64">
        <f t="shared" si="2"/>
        <v>11</v>
      </c>
      <c r="E18" s="65" t="s">
        <v>18</v>
      </c>
      <c r="F18" s="66"/>
      <c r="G18" s="64"/>
      <c r="H18" s="67"/>
      <c r="I18" s="67"/>
      <c r="J18" s="64"/>
      <c r="K18" s="68">
        <f>SUM(CALCULATIONS!B12)+(('BOX ORDER'!J18)*100)+350</f>
        <v>350</v>
      </c>
      <c r="L18" s="23">
        <f t="shared" si="5"/>
        <v>390</v>
      </c>
      <c r="M18" s="23"/>
      <c r="P18" s="64">
        <v>11</v>
      </c>
      <c r="Q18" s="64" t="str">
        <v>HOODS</v>
      </c>
      <c r="R18" s="64">
        <v>0</v>
      </c>
      <c r="S18" s="64">
        <v>0</v>
      </c>
      <c r="T18" s="64">
        <v>0</v>
      </c>
      <c r="U18" s="64">
        <v>0</v>
      </c>
      <c r="V18" s="64">
        <v>0</v>
      </c>
      <c r="W18" s="23">
        <v>350</v>
      </c>
      <c r="X18" s="23">
        <v>390</v>
      </c>
      <c r="Y18" s="24">
        <v>0</v>
      </c>
    </row>
    <row r="19" spans="1:25" ht="60" hidden="1" customHeight="1" x14ac:dyDescent="0.25">
      <c r="A19" s="10" t="str">
        <f t="shared" si="0"/>
        <v/>
      </c>
      <c r="B19" s="10" t="s">
        <v>8</v>
      </c>
      <c r="D19" s="64">
        <f t="shared" si="2"/>
        <v>12</v>
      </c>
      <c r="E19" s="65" t="s">
        <v>18</v>
      </c>
      <c r="F19" s="66"/>
      <c r="G19" s="64"/>
      <c r="H19" s="67"/>
      <c r="I19" s="67"/>
      <c r="J19" s="64"/>
      <c r="K19" s="68">
        <f>SUM(CALCULATIONS!B13)+(('BOX ORDER'!J19)*100)+350</f>
        <v>350</v>
      </c>
      <c r="L19" s="23">
        <f t="shared" si="5"/>
        <v>390</v>
      </c>
      <c r="M19" s="23"/>
      <c r="P19" s="64">
        <v>12</v>
      </c>
      <c r="Q19" s="64" t="str">
        <v>HOODS</v>
      </c>
      <c r="R19" s="64">
        <v>0</v>
      </c>
      <c r="S19" s="64">
        <v>0</v>
      </c>
      <c r="T19" s="64">
        <v>0</v>
      </c>
      <c r="U19" s="64">
        <v>0</v>
      </c>
      <c r="V19" s="64">
        <v>0</v>
      </c>
      <c r="W19" s="23">
        <v>350</v>
      </c>
      <c r="X19" s="23">
        <v>390</v>
      </c>
      <c r="Y19" s="24">
        <v>0</v>
      </c>
    </row>
    <row r="20" spans="1:25" ht="60" hidden="1" customHeight="1" x14ac:dyDescent="0.25">
      <c r="A20" s="10" t="str">
        <f t="shared" ref="A20:A80" si="6">IF(G20,_xlfn.TEXTBEFORE($D$2," -"),"")</f>
        <v/>
      </c>
      <c r="B20" s="10" t="s">
        <v>8</v>
      </c>
      <c r="D20" s="64">
        <f t="shared" si="2"/>
        <v>13</v>
      </c>
      <c r="E20" s="65" t="s">
        <v>18</v>
      </c>
      <c r="F20" s="66"/>
      <c r="G20" s="64"/>
      <c r="H20" s="67"/>
      <c r="I20" s="67"/>
      <c r="J20" s="64"/>
      <c r="K20" s="68">
        <f>SUM(CALCULATIONS!B14)+(('BOX ORDER'!J20)*100)+350</f>
        <v>350</v>
      </c>
      <c r="L20" s="23">
        <f t="shared" si="5"/>
        <v>390</v>
      </c>
      <c r="M20" s="23"/>
      <c r="P20" s="64">
        <v>13</v>
      </c>
      <c r="Q20" s="64" t="str">
        <v>HOODS</v>
      </c>
      <c r="R20" s="64">
        <v>0</v>
      </c>
      <c r="S20" s="64">
        <v>0</v>
      </c>
      <c r="T20" s="64">
        <v>0</v>
      </c>
      <c r="U20" s="64">
        <v>0</v>
      </c>
      <c r="V20" s="64">
        <v>0</v>
      </c>
      <c r="W20" s="23">
        <v>350</v>
      </c>
      <c r="X20" s="23">
        <v>390</v>
      </c>
      <c r="Y20" s="24">
        <v>0</v>
      </c>
    </row>
    <row r="21" spans="1:25" ht="60" hidden="1" customHeight="1" x14ac:dyDescent="0.25">
      <c r="A21" s="10" t="str">
        <f t="shared" si="6"/>
        <v/>
      </c>
      <c r="B21" s="10" t="s">
        <v>8</v>
      </c>
      <c r="D21" s="64">
        <f t="shared" si="2"/>
        <v>14</v>
      </c>
      <c r="E21" s="65" t="s">
        <v>18</v>
      </c>
      <c r="F21" s="66"/>
      <c r="G21" s="64"/>
      <c r="H21" s="67"/>
      <c r="I21" s="67"/>
      <c r="J21" s="64"/>
      <c r="K21" s="68">
        <f>SUM(CALCULATIONS!B15)+(('BOX ORDER'!J21)*100)+350</f>
        <v>350</v>
      </c>
      <c r="L21" s="23">
        <f t="shared" si="5"/>
        <v>390</v>
      </c>
      <c r="M21" s="23"/>
      <c r="P21" s="64">
        <v>14</v>
      </c>
      <c r="Q21" s="64" t="str">
        <v>HOODS</v>
      </c>
      <c r="R21" s="64">
        <v>0</v>
      </c>
      <c r="S21" s="64">
        <v>0</v>
      </c>
      <c r="T21" s="64">
        <v>0</v>
      </c>
      <c r="U21" s="64">
        <v>0</v>
      </c>
      <c r="V21" s="64">
        <v>0</v>
      </c>
      <c r="W21" s="23">
        <v>350</v>
      </c>
      <c r="X21" s="23">
        <v>390</v>
      </c>
      <c r="Y21" s="24">
        <v>0</v>
      </c>
    </row>
    <row r="22" spans="1:25" ht="60" hidden="1" customHeight="1" x14ac:dyDescent="0.25">
      <c r="A22" s="10" t="str">
        <f t="shared" si="6"/>
        <v/>
      </c>
      <c r="B22" s="10" t="s">
        <v>8</v>
      </c>
      <c r="D22" s="64">
        <f t="shared" si="2"/>
        <v>15</v>
      </c>
      <c r="E22" s="65" t="s">
        <v>18</v>
      </c>
      <c r="F22" s="66"/>
      <c r="G22" s="64"/>
      <c r="H22" s="67"/>
      <c r="I22" s="67"/>
      <c r="J22" s="64"/>
      <c r="K22" s="68">
        <f>SUM(CALCULATIONS!B16)+(('BOX ORDER'!J22)*100)+350</f>
        <v>350</v>
      </c>
      <c r="L22" s="23">
        <f t="shared" si="5"/>
        <v>390</v>
      </c>
      <c r="M22" s="23"/>
      <c r="P22" s="64">
        <v>15</v>
      </c>
      <c r="Q22" s="64" t="str">
        <v>HOODS</v>
      </c>
      <c r="R22" s="64">
        <v>0</v>
      </c>
      <c r="S22" s="64">
        <v>0</v>
      </c>
      <c r="T22" s="64">
        <v>0</v>
      </c>
      <c r="U22" s="64">
        <v>0</v>
      </c>
      <c r="V22" s="64">
        <v>0</v>
      </c>
      <c r="W22" s="23">
        <v>350</v>
      </c>
      <c r="X22" s="23">
        <v>390</v>
      </c>
      <c r="Y22" s="24">
        <v>0</v>
      </c>
    </row>
    <row r="23" spans="1:25" ht="60" hidden="1" customHeight="1" x14ac:dyDescent="0.25">
      <c r="A23" s="10" t="str">
        <f t="shared" si="6"/>
        <v/>
      </c>
      <c r="B23" s="10" t="s">
        <v>8</v>
      </c>
      <c r="D23" s="64">
        <f t="shared" si="2"/>
        <v>16</v>
      </c>
      <c r="E23" s="65" t="s">
        <v>18</v>
      </c>
      <c r="F23" s="66"/>
      <c r="G23" s="64"/>
      <c r="H23" s="67"/>
      <c r="I23" s="67"/>
      <c r="J23" s="64"/>
      <c r="K23" s="68">
        <f>SUM(CALCULATIONS!B17)+(('BOX ORDER'!J23)*100)+350</f>
        <v>350</v>
      </c>
      <c r="L23" s="23">
        <f t="shared" si="5"/>
        <v>390</v>
      </c>
      <c r="M23" s="23"/>
      <c r="P23" s="64">
        <v>16</v>
      </c>
      <c r="Q23" s="64" t="str">
        <v>HOODS</v>
      </c>
      <c r="R23" s="64">
        <v>0</v>
      </c>
      <c r="S23" s="64">
        <v>0</v>
      </c>
      <c r="T23" s="64">
        <v>0</v>
      </c>
      <c r="U23" s="64">
        <v>0</v>
      </c>
      <c r="V23" s="64">
        <v>0</v>
      </c>
      <c r="W23" s="23">
        <v>350</v>
      </c>
      <c r="X23" s="23">
        <v>390</v>
      </c>
      <c r="Y23" s="24">
        <v>0</v>
      </c>
    </row>
    <row r="24" spans="1:25" ht="60" hidden="1" customHeight="1" x14ac:dyDescent="0.25">
      <c r="A24" s="10" t="str">
        <f t="shared" si="6"/>
        <v/>
      </c>
      <c r="B24" s="10" t="s">
        <v>8</v>
      </c>
      <c r="D24" s="64">
        <f t="shared" si="2"/>
        <v>17</v>
      </c>
      <c r="E24" s="65" t="s">
        <v>18</v>
      </c>
      <c r="F24" s="66"/>
      <c r="G24" s="64"/>
      <c r="H24" s="67"/>
      <c r="I24" s="67"/>
      <c r="J24" s="64"/>
      <c r="K24" s="68">
        <f>SUM(CALCULATIONS!B18)+(('BOX ORDER'!J24)*100)+350</f>
        <v>350</v>
      </c>
      <c r="L24" s="23">
        <f t="shared" si="5"/>
        <v>390</v>
      </c>
      <c r="M24" s="23"/>
      <c r="P24" s="64">
        <v>17</v>
      </c>
      <c r="Q24" s="64" t="str">
        <v>HOODS</v>
      </c>
      <c r="R24" s="64">
        <v>0</v>
      </c>
      <c r="S24" s="64">
        <v>0</v>
      </c>
      <c r="T24" s="64">
        <v>0</v>
      </c>
      <c r="U24" s="64">
        <v>0</v>
      </c>
      <c r="V24" s="64">
        <v>0</v>
      </c>
      <c r="W24" s="23">
        <v>350</v>
      </c>
      <c r="X24" s="23">
        <v>390</v>
      </c>
      <c r="Y24" s="24">
        <v>0</v>
      </c>
    </row>
    <row r="25" spans="1:25" ht="60" hidden="1" customHeight="1" x14ac:dyDescent="0.25">
      <c r="A25" s="10" t="str">
        <f t="shared" si="6"/>
        <v/>
      </c>
      <c r="B25" s="10" t="s">
        <v>8</v>
      </c>
      <c r="D25" s="64">
        <f t="shared" si="2"/>
        <v>18</v>
      </c>
      <c r="E25" s="65" t="s">
        <v>18</v>
      </c>
      <c r="F25" s="66"/>
      <c r="G25" s="64"/>
      <c r="H25" s="67"/>
      <c r="I25" s="67"/>
      <c r="J25" s="64"/>
      <c r="K25" s="68">
        <f>SUM(CALCULATIONS!B19)+(('BOX ORDER'!J25)*100)+350</f>
        <v>350</v>
      </c>
      <c r="L25" s="23">
        <f t="shared" si="5"/>
        <v>390</v>
      </c>
      <c r="M25" s="23"/>
      <c r="P25" s="64">
        <v>18</v>
      </c>
      <c r="Q25" s="64" t="str">
        <v>HOODS</v>
      </c>
      <c r="R25" s="64">
        <v>0</v>
      </c>
      <c r="S25" s="64">
        <v>0</v>
      </c>
      <c r="T25" s="64">
        <v>0</v>
      </c>
      <c r="U25" s="64">
        <v>0</v>
      </c>
      <c r="V25" s="64">
        <v>0</v>
      </c>
      <c r="W25" s="23">
        <v>350</v>
      </c>
      <c r="X25" s="23">
        <v>390</v>
      </c>
      <c r="Y25" s="24">
        <v>0</v>
      </c>
    </row>
    <row r="26" spans="1:25" ht="60" hidden="1" customHeight="1" x14ac:dyDescent="0.25">
      <c r="A26" s="10" t="str">
        <f t="shared" si="6"/>
        <v/>
      </c>
      <c r="B26" s="10" t="s">
        <v>8</v>
      </c>
      <c r="D26" s="64">
        <f t="shared" si="2"/>
        <v>19</v>
      </c>
      <c r="E26" s="65" t="s">
        <v>18</v>
      </c>
      <c r="F26" s="66"/>
      <c r="G26" s="64"/>
      <c r="H26" s="67"/>
      <c r="I26" s="67"/>
      <c r="J26" s="64"/>
      <c r="K26" s="68">
        <f>SUM(CALCULATIONS!B20)+(('BOX ORDER'!J26)*100)+350</f>
        <v>350</v>
      </c>
      <c r="L26" s="23">
        <f t="shared" si="5"/>
        <v>390</v>
      </c>
      <c r="M26" s="23"/>
      <c r="P26" s="64">
        <v>19</v>
      </c>
      <c r="Q26" s="64" t="str">
        <v>HOODS</v>
      </c>
      <c r="R26" s="64">
        <v>0</v>
      </c>
      <c r="S26" s="64">
        <v>0</v>
      </c>
      <c r="T26" s="64">
        <v>0</v>
      </c>
      <c r="U26" s="64">
        <v>0</v>
      </c>
      <c r="V26" s="64">
        <v>0</v>
      </c>
      <c r="W26" s="23">
        <v>350</v>
      </c>
      <c r="X26" s="23">
        <v>390</v>
      </c>
      <c r="Y26" s="24">
        <v>0</v>
      </c>
    </row>
    <row r="27" spans="1:25" ht="60" hidden="1" customHeight="1" x14ac:dyDescent="0.25">
      <c r="A27" s="10" t="str">
        <f t="shared" si="6"/>
        <v/>
      </c>
      <c r="B27" s="10" t="s">
        <v>8</v>
      </c>
      <c r="D27" s="64">
        <f t="shared" si="2"/>
        <v>20</v>
      </c>
      <c r="E27" s="65" t="s">
        <v>18</v>
      </c>
      <c r="F27" s="66"/>
      <c r="G27" s="64"/>
      <c r="H27" s="67"/>
      <c r="I27" s="67"/>
      <c r="J27" s="64"/>
      <c r="K27" s="68">
        <f>SUM(CALCULATIONS!B21)+(('BOX ORDER'!J27)*100)+350</f>
        <v>350</v>
      </c>
      <c r="L27" s="23">
        <f t="shared" si="5"/>
        <v>390</v>
      </c>
      <c r="M27" s="23"/>
      <c r="P27" s="64">
        <v>20</v>
      </c>
      <c r="Q27" s="64" t="str">
        <v>HOODS</v>
      </c>
      <c r="R27" s="64">
        <v>0</v>
      </c>
      <c r="S27" s="64">
        <v>0</v>
      </c>
      <c r="T27" s="64">
        <v>0</v>
      </c>
      <c r="U27" s="64">
        <v>0</v>
      </c>
      <c r="V27" s="64">
        <v>0</v>
      </c>
      <c r="W27" s="23">
        <v>350</v>
      </c>
      <c r="X27" s="23">
        <v>390</v>
      </c>
      <c r="Y27" s="24">
        <v>0</v>
      </c>
    </row>
    <row r="28" spans="1:25" ht="60" hidden="1" customHeight="1" x14ac:dyDescent="0.25">
      <c r="A28" s="10" t="str">
        <f t="shared" si="6"/>
        <v/>
      </c>
      <c r="B28" s="10" t="s">
        <v>8</v>
      </c>
      <c r="D28" s="64">
        <f t="shared" si="2"/>
        <v>21</v>
      </c>
      <c r="E28" s="65" t="s">
        <v>18</v>
      </c>
      <c r="F28" s="66"/>
      <c r="G28" s="64"/>
      <c r="H28" s="67"/>
      <c r="I28" s="67"/>
      <c r="J28" s="64"/>
      <c r="K28" s="68">
        <f>SUM(CALCULATIONS!B22)+(('BOX ORDER'!J28)*100)+350</f>
        <v>350</v>
      </c>
      <c r="L28" s="23">
        <f t="shared" si="5"/>
        <v>390</v>
      </c>
      <c r="M28" s="23"/>
      <c r="P28" s="64">
        <v>21</v>
      </c>
      <c r="Q28" s="64" t="str">
        <v>HOODS</v>
      </c>
      <c r="R28" s="64">
        <v>0</v>
      </c>
      <c r="S28" s="64">
        <v>0</v>
      </c>
      <c r="T28" s="64">
        <v>0</v>
      </c>
      <c r="U28" s="64">
        <v>0</v>
      </c>
      <c r="V28" s="64">
        <v>0</v>
      </c>
      <c r="W28" s="23">
        <v>350</v>
      </c>
      <c r="X28" s="23">
        <v>390</v>
      </c>
      <c r="Y28" s="24">
        <v>0</v>
      </c>
    </row>
    <row r="29" spans="1:25" ht="60" hidden="1" customHeight="1" x14ac:dyDescent="0.25">
      <c r="A29" s="10" t="str">
        <f t="shared" si="6"/>
        <v/>
      </c>
      <c r="B29" s="10" t="s">
        <v>8</v>
      </c>
      <c r="D29" s="64">
        <f t="shared" si="2"/>
        <v>22</v>
      </c>
      <c r="E29" s="65" t="s">
        <v>18</v>
      </c>
      <c r="F29" s="66"/>
      <c r="G29" s="64"/>
      <c r="H29" s="67"/>
      <c r="I29" s="67"/>
      <c r="J29" s="64"/>
      <c r="K29" s="68">
        <f>SUM(CALCULATIONS!B23)+(('BOX ORDER'!J29)*100)+350</f>
        <v>350</v>
      </c>
      <c r="L29" s="23">
        <f t="shared" si="5"/>
        <v>390</v>
      </c>
      <c r="M29" s="23"/>
      <c r="P29" s="64">
        <v>22</v>
      </c>
      <c r="Q29" s="64" t="str">
        <v>HOODS</v>
      </c>
      <c r="R29" s="64">
        <v>0</v>
      </c>
      <c r="S29" s="64">
        <v>0</v>
      </c>
      <c r="T29" s="64">
        <v>0</v>
      </c>
      <c r="U29" s="64">
        <v>0</v>
      </c>
      <c r="V29" s="64">
        <v>0</v>
      </c>
      <c r="W29" s="23">
        <v>350</v>
      </c>
      <c r="X29" s="23">
        <v>390</v>
      </c>
      <c r="Y29" s="24">
        <v>0</v>
      </c>
    </row>
    <row r="30" spans="1:25" ht="60" hidden="1" customHeight="1" x14ac:dyDescent="0.25">
      <c r="A30" s="10" t="str">
        <f t="shared" si="6"/>
        <v/>
      </c>
      <c r="B30" s="10" t="s">
        <v>8</v>
      </c>
      <c r="D30" s="64">
        <f t="shared" si="2"/>
        <v>23</v>
      </c>
      <c r="E30" s="65" t="s">
        <v>18</v>
      </c>
      <c r="F30" s="66"/>
      <c r="G30" s="64"/>
      <c r="H30" s="67"/>
      <c r="I30" s="67"/>
      <c r="J30" s="64"/>
      <c r="K30" s="68">
        <f>SUM(CALCULATIONS!B24)+(('BOX ORDER'!J30)*100)+350</f>
        <v>350</v>
      </c>
      <c r="L30" s="23">
        <f t="shared" si="5"/>
        <v>390</v>
      </c>
      <c r="M30" s="23"/>
      <c r="P30" s="64">
        <v>23</v>
      </c>
      <c r="Q30" s="64" t="str">
        <v>HOODS</v>
      </c>
      <c r="R30" s="64">
        <v>0</v>
      </c>
      <c r="S30" s="64">
        <v>0</v>
      </c>
      <c r="T30" s="64">
        <v>0</v>
      </c>
      <c r="U30" s="64">
        <v>0</v>
      </c>
      <c r="V30" s="64">
        <v>0</v>
      </c>
      <c r="W30" s="23">
        <v>350</v>
      </c>
      <c r="X30" s="23">
        <v>390</v>
      </c>
      <c r="Y30" s="24">
        <v>0</v>
      </c>
    </row>
    <row r="31" spans="1:25" ht="60" hidden="1" customHeight="1" x14ac:dyDescent="0.25">
      <c r="A31" s="10" t="str">
        <f t="shared" si="6"/>
        <v/>
      </c>
      <c r="B31" s="10" t="s">
        <v>8</v>
      </c>
      <c r="D31" s="64">
        <f t="shared" si="2"/>
        <v>24</v>
      </c>
      <c r="E31" s="65" t="s">
        <v>18</v>
      </c>
      <c r="F31" s="66"/>
      <c r="G31" s="64"/>
      <c r="H31" s="67"/>
      <c r="I31" s="67"/>
      <c r="J31" s="64"/>
      <c r="K31" s="68">
        <f>SUM(CALCULATIONS!B25)+(('BOX ORDER'!J31)*100)+350</f>
        <v>350</v>
      </c>
      <c r="L31" s="23">
        <f t="shared" si="5"/>
        <v>390</v>
      </c>
      <c r="M31" s="23"/>
      <c r="P31" s="64">
        <v>24</v>
      </c>
      <c r="Q31" s="64" t="str">
        <v>HOODS</v>
      </c>
      <c r="R31" s="64">
        <v>0</v>
      </c>
      <c r="S31" s="64">
        <v>0</v>
      </c>
      <c r="T31" s="64">
        <v>0</v>
      </c>
      <c r="U31" s="64">
        <v>0</v>
      </c>
      <c r="V31" s="64">
        <v>0</v>
      </c>
      <c r="W31" s="23">
        <v>350</v>
      </c>
      <c r="X31" s="23">
        <v>390</v>
      </c>
      <c r="Y31" s="24">
        <v>0</v>
      </c>
    </row>
    <row r="32" spans="1:25" ht="60" hidden="1" customHeight="1" x14ac:dyDescent="0.25">
      <c r="A32" s="10" t="str">
        <f t="shared" si="6"/>
        <v/>
      </c>
      <c r="B32" s="10" t="s">
        <v>8</v>
      </c>
      <c r="D32" s="64">
        <f t="shared" si="2"/>
        <v>25</v>
      </c>
      <c r="E32" s="65" t="s">
        <v>18</v>
      </c>
      <c r="F32" s="66"/>
      <c r="G32" s="64"/>
      <c r="H32" s="67"/>
      <c r="I32" s="67"/>
      <c r="J32" s="64"/>
      <c r="K32" s="68">
        <f>SUM(CALCULATIONS!B26)+(('BOX ORDER'!J32)*100)+350</f>
        <v>350</v>
      </c>
      <c r="L32" s="23">
        <f t="shared" si="5"/>
        <v>390</v>
      </c>
      <c r="M32" s="23"/>
      <c r="P32" s="64">
        <v>25</v>
      </c>
      <c r="Q32" s="64" t="str">
        <v>HOODS</v>
      </c>
      <c r="R32" s="64">
        <v>0</v>
      </c>
      <c r="S32" s="64">
        <v>0</v>
      </c>
      <c r="T32" s="64">
        <v>0</v>
      </c>
      <c r="U32" s="64">
        <v>0</v>
      </c>
      <c r="V32" s="64">
        <v>0</v>
      </c>
      <c r="W32" s="23">
        <v>350</v>
      </c>
      <c r="X32" s="23">
        <v>390</v>
      </c>
      <c r="Y32" s="24">
        <v>0</v>
      </c>
    </row>
    <row r="33" spans="1:25" ht="60" hidden="1" customHeight="1" x14ac:dyDescent="0.25">
      <c r="A33" s="10" t="str">
        <f t="shared" si="6"/>
        <v/>
      </c>
      <c r="B33" s="10" t="s">
        <v>8</v>
      </c>
      <c r="D33" s="64">
        <f t="shared" si="2"/>
        <v>26</v>
      </c>
      <c r="E33" s="65" t="s">
        <v>18</v>
      </c>
      <c r="F33" s="66"/>
      <c r="G33" s="64"/>
      <c r="H33" s="67"/>
      <c r="I33" s="67"/>
      <c r="J33" s="64"/>
      <c r="K33" s="68">
        <f>SUM(CALCULATIONS!B27)+(('BOX ORDER'!J33)*100)+350</f>
        <v>350</v>
      </c>
      <c r="L33" s="23">
        <f t="shared" si="5"/>
        <v>390</v>
      </c>
      <c r="M33" s="23"/>
      <c r="P33" s="64">
        <v>26</v>
      </c>
      <c r="Q33" s="64" t="str">
        <v>HOODS</v>
      </c>
      <c r="R33" s="64">
        <v>0</v>
      </c>
      <c r="S33" s="64">
        <v>0</v>
      </c>
      <c r="T33" s="64">
        <v>0</v>
      </c>
      <c r="U33" s="64">
        <v>0</v>
      </c>
      <c r="V33" s="64">
        <v>0</v>
      </c>
      <c r="W33" s="23">
        <v>350</v>
      </c>
      <c r="X33" s="23">
        <v>390</v>
      </c>
      <c r="Y33" s="24">
        <v>0</v>
      </c>
    </row>
    <row r="34" spans="1:25" ht="60" hidden="1" customHeight="1" x14ac:dyDescent="0.25">
      <c r="A34" s="10" t="str">
        <f t="shared" si="6"/>
        <v/>
      </c>
      <c r="B34" s="10" t="s">
        <v>8</v>
      </c>
      <c r="D34" s="64">
        <f t="shared" si="2"/>
        <v>27</v>
      </c>
      <c r="E34" s="65" t="s">
        <v>18</v>
      </c>
      <c r="F34" s="66"/>
      <c r="G34" s="64"/>
      <c r="H34" s="67"/>
      <c r="I34" s="67"/>
      <c r="J34" s="64"/>
      <c r="K34" s="68">
        <f>SUM(CALCULATIONS!B28)+(('BOX ORDER'!J34)*100)+350</f>
        <v>350</v>
      </c>
      <c r="L34" s="23">
        <f t="shared" si="5"/>
        <v>390</v>
      </c>
      <c r="M34" s="23"/>
      <c r="P34" s="64">
        <v>27</v>
      </c>
      <c r="Q34" s="64" t="str">
        <v>HOODS</v>
      </c>
      <c r="R34" s="64">
        <v>0</v>
      </c>
      <c r="S34" s="64">
        <v>0</v>
      </c>
      <c r="T34" s="64">
        <v>0</v>
      </c>
      <c r="U34" s="64">
        <v>0</v>
      </c>
      <c r="V34" s="64">
        <v>0</v>
      </c>
      <c r="W34" s="23">
        <v>350</v>
      </c>
      <c r="X34" s="23">
        <v>390</v>
      </c>
      <c r="Y34" s="24">
        <v>0</v>
      </c>
    </row>
    <row r="35" spans="1:25" ht="60" hidden="1" customHeight="1" x14ac:dyDescent="0.25">
      <c r="A35" s="10" t="str">
        <f t="shared" si="6"/>
        <v/>
      </c>
      <c r="B35" s="10" t="s">
        <v>8</v>
      </c>
      <c r="D35" s="64">
        <f t="shared" si="2"/>
        <v>28</v>
      </c>
      <c r="E35" s="65" t="s">
        <v>18</v>
      </c>
      <c r="F35" s="66"/>
      <c r="G35" s="64"/>
      <c r="H35" s="67"/>
      <c r="I35" s="67"/>
      <c r="J35" s="64"/>
      <c r="K35" s="68">
        <f>SUM(CALCULATIONS!B29)+(('BOX ORDER'!J35)*100)+350</f>
        <v>350</v>
      </c>
      <c r="L35" s="23">
        <f t="shared" si="5"/>
        <v>390</v>
      </c>
      <c r="M35" s="23"/>
      <c r="P35" s="64">
        <v>28</v>
      </c>
      <c r="Q35" s="64" t="str">
        <v>HOODS</v>
      </c>
      <c r="R35" s="64">
        <v>0</v>
      </c>
      <c r="S35" s="64">
        <v>0</v>
      </c>
      <c r="T35" s="64">
        <v>0</v>
      </c>
      <c r="U35" s="64">
        <v>0</v>
      </c>
      <c r="V35" s="64">
        <v>0</v>
      </c>
      <c r="W35" s="23">
        <v>350</v>
      </c>
      <c r="X35" s="23">
        <v>390</v>
      </c>
      <c r="Y35" s="24">
        <v>0</v>
      </c>
    </row>
    <row r="36" spans="1:25" ht="60" hidden="1" customHeight="1" x14ac:dyDescent="0.25">
      <c r="A36" s="10" t="str">
        <f t="shared" si="6"/>
        <v/>
      </c>
      <c r="B36" s="10" t="s">
        <v>8</v>
      </c>
      <c r="D36" s="64">
        <f t="shared" si="2"/>
        <v>29</v>
      </c>
      <c r="E36" s="65" t="s">
        <v>18</v>
      </c>
      <c r="F36" s="66"/>
      <c r="G36" s="64"/>
      <c r="H36" s="67"/>
      <c r="I36" s="67"/>
      <c r="J36" s="64"/>
      <c r="K36" s="68">
        <f>SUM(CALCULATIONS!B30)+(('BOX ORDER'!J36)*100)+350</f>
        <v>350</v>
      </c>
      <c r="L36" s="23">
        <f t="shared" si="5"/>
        <v>390</v>
      </c>
      <c r="M36" s="23"/>
      <c r="P36" s="64">
        <v>29</v>
      </c>
      <c r="Q36" s="64" t="str">
        <v>HOODS</v>
      </c>
      <c r="R36" s="64">
        <v>0</v>
      </c>
      <c r="S36" s="64">
        <v>0</v>
      </c>
      <c r="T36" s="64">
        <v>0</v>
      </c>
      <c r="U36" s="64">
        <v>0</v>
      </c>
      <c r="V36" s="64">
        <v>0</v>
      </c>
      <c r="W36" s="23">
        <v>350</v>
      </c>
      <c r="X36" s="23">
        <v>390</v>
      </c>
      <c r="Y36" s="24">
        <v>0</v>
      </c>
    </row>
    <row r="37" spans="1:25" ht="60" hidden="1" customHeight="1" x14ac:dyDescent="0.25">
      <c r="A37" s="10" t="str">
        <f t="shared" si="6"/>
        <v/>
      </c>
      <c r="B37" s="10" t="s">
        <v>8</v>
      </c>
      <c r="D37" s="64">
        <f t="shared" si="2"/>
        <v>30</v>
      </c>
      <c r="E37" s="65" t="s">
        <v>18</v>
      </c>
      <c r="F37" s="66"/>
      <c r="G37" s="64"/>
      <c r="H37" s="67"/>
      <c r="I37" s="67"/>
      <c r="J37" s="64"/>
      <c r="K37" s="68">
        <f>SUM(CALCULATIONS!B31)+(('BOX ORDER'!J37)*100)+350</f>
        <v>350</v>
      </c>
      <c r="L37" s="23">
        <f t="shared" si="5"/>
        <v>390</v>
      </c>
      <c r="M37" s="23"/>
      <c r="P37" s="64">
        <v>30</v>
      </c>
      <c r="Q37" s="64" t="str">
        <v>HOODS</v>
      </c>
      <c r="R37" s="64">
        <v>0</v>
      </c>
      <c r="S37" s="64">
        <v>0</v>
      </c>
      <c r="T37" s="64">
        <v>0</v>
      </c>
      <c r="U37" s="64">
        <v>0</v>
      </c>
      <c r="V37" s="64">
        <v>0</v>
      </c>
      <c r="W37" s="23">
        <v>350</v>
      </c>
      <c r="X37" s="23">
        <v>390</v>
      </c>
      <c r="Y37" s="24">
        <v>0</v>
      </c>
    </row>
    <row r="38" spans="1:25" ht="60" hidden="1" customHeight="1" x14ac:dyDescent="0.25">
      <c r="A38" s="10" t="str">
        <f t="shared" si="6"/>
        <v/>
      </c>
      <c r="B38" s="10" t="s">
        <v>8</v>
      </c>
      <c r="D38" s="64">
        <f t="shared" si="2"/>
        <v>31</v>
      </c>
      <c r="E38" s="65" t="s">
        <v>18</v>
      </c>
      <c r="F38" s="66"/>
      <c r="G38" s="64"/>
      <c r="H38" s="67"/>
      <c r="I38" s="67"/>
      <c r="J38" s="64"/>
      <c r="K38" s="68">
        <f>SUM(CALCULATIONS!B32)+(('BOX ORDER'!J38)*100)+350</f>
        <v>350</v>
      </c>
      <c r="L38" s="23">
        <f t="shared" si="5"/>
        <v>390</v>
      </c>
      <c r="M38" s="23"/>
      <c r="P38" s="64">
        <v>31</v>
      </c>
      <c r="Q38" s="64" t="str">
        <v>HOODS</v>
      </c>
      <c r="R38" s="64">
        <v>0</v>
      </c>
      <c r="S38" s="64">
        <v>0</v>
      </c>
      <c r="T38" s="64">
        <v>0</v>
      </c>
      <c r="U38" s="64">
        <v>0</v>
      </c>
      <c r="V38" s="64">
        <v>0</v>
      </c>
      <c r="W38" s="23">
        <v>350</v>
      </c>
      <c r="X38" s="23">
        <v>390</v>
      </c>
      <c r="Y38" s="24">
        <v>0</v>
      </c>
    </row>
    <row r="39" spans="1:25" ht="60" hidden="1" customHeight="1" x14ac:dyDescent="0.25">
      <c r="A39" s="10" t="str">
        <f t="shared" si="6"/>
        <v/>
      </c>
      <c r="B39" s="10" t="s">
        <v>8</v>
      </c>
      <c r="D39" s="64">
        <f t="shared" si="2"/>
        <v>32</v>
      </c>
      <c r="E39" s="65" t="s">
        <v>18</v>
      </c>
      <c r="F39" s="66"/>
      <c r="G39" s="64"/>
      <c r="H39" s="67"/>
      <c r="I39" s="67"/>
      <c r="J39" s="64"/>
      <c r="K39" s="68">
        <f>SUM(CALCULATIONS!B33)+(('BOX ORDER'!J39)*100)+350</f>
        <v>350</v>
      </c>
      <c r="L39" s="23">
        <f t="shared" si="5"/>
        <v>390</v>
      </c>
      <c r="M39" s="23"/>
      <c r="P39" s="64">
        <v>32</v>
      </c>
      <c r="Q39" s="64" t="str">
        <v>HOODS</v>
      </c>
      <c r="R39" s="64">
        <v>0</v>
      </c>
      <c r="S39" s="64">
        <v>0</v>
      </c>
      <c r="T39" s="64">
        <v>0</v>
      </c>
      <c r="U39" s="64">
        <v>0</v>
      </c>
      <c r="V39" s="64">
        <v>0</v>
      </c>
      <c r="W39" s="23">
        <v>350</v>
      </c>
      <c r="X39" s="23">
        <v>390</v>
      </c>
      <c r="Y39" s="24">
        <v>0</v>
      </c>
    </row>
    <row r="40" spans="1:25" ht="60" hidden="1" customHeight="1" x14ac:dyDescent="0.25">
      <c r="A40" s="10" t="str">
        <f t="shared" si="6"/>
        <v/>
      </c>
      <c r="B40" s="10" t="s">
        <v>8</v>
      </c>
      <c r="D40" s="64">
        <f t="shared" si="2"/>
        <v>33</v>
      </c>
      <c r="E40" s="65" t="s">
        <v>18</v>
      </c>
      <c r="F40" s="66"/>
      <c r="G40" s="64"/>
      <c r="H40" s="67"/>
      <c r="I40" s="67"/>
      <c r="J40" s="64"/>
      <c r="K40" s="68">
        <f>SUM(CALCULATIONS!B34)+(('BOX ORDER'!J40)*100)+350</f>
        <v>350</v>
      </c>
      <c r="L40" s="23">
        <f t="shared" si="5"/>
        <v>390</v>
      </c>
      <c r="M40" s="23"/>
      <c r="P40" s="64">
        <v>33</v>
      </c>
      <c r="Q40" s="64" t="str">
        <v>HOODS</v>
      </c>
      <c r="R40" s="64">
        <v>0</v>
      </c>
      <c r="S40" s="64">
        <v>0</v>
      </c>
      <c r="T40" s="64">
        <v>0</v>
      </c>
      <c r="U40" s="64">
        <v>0</v>
      </c>
      <c r="V40" s="64">
        <v>0</v>
      </c>
      <c r="W40" s="23">
        <v>350</v>
      </c>
      <c r="X40" s="23">
        <v>390</v>
      </c>
      <c r="Y40" s="24">
        <v>0</v>
      </c>
    </row>
    <row r="41" spans="1:25" ht="60" hidden="1" customHeight="1" x14ac:dyDescent="0.25">
      <c r="A41" s="10" t="str">
        <f t="shared" si="6"/>
        <v/>
      </c>
      <c r="B41" s="10" t="s">
        <v>8</v>
      </c>
      <c r="D41" s="64">
        <f t="shared" si="2"/>
        <v>34</v>
      </c>
      <c r="E41" s="65" t="s">
        <v>18</v>
      </c>
      <c r="F41" s="66"/>
      <c r="G41" s="64"/>
      <c r="H41" s="67"/>
      <c r="I41" s="67"/>
      <c r="J41" s="64"/>
      <c r="K41" s="68">
        <f>SUM(CALCULATIONS!B35)+(('BOX ORDER'!J41)*100)+350</f>
        <v>350</v>
      </c>
      <c r="L41" s="23">
        <f t="shared" si="5"/>
        <v>390</v>
      </c>
      <c r="M41" s="23"/>
      <c r="P41" s="64">
        <v>34</v>
      </c>
      <c r="Q41" s="64" t="str">
        <v>HOODS</v>
      </c>
      <c r="R41" s="64">
        <v>0</v>
      </c>
      <c r="S41" s="64">
        <v>0</v>
      </c>
      <c r="T41" s="64">
        <v>0</v>
      </c>
      <c r="U41" s="64">
        <v>0</v>
      </c>
      <c r="V41" s="64">
        <v>0</v>
      </c>
      <c r="W41" s="23">
        <v>350</v>
      </c>
      <c r="X41" s="23">
        <v>390</v>
      </c>
      <c r="Y41" s="24">
        <v>0</v>
      </c>
    </row>
    <row r="42" spans="1:25" ht="60" hidden="1" customHeight="1" x14ac:dyDescent="0.25">
      <c r="A42" s="10" t="str">
        <f t="shared" si="6"/>
        <v/>
      </c>
      <c r="B42" s="10" t="s">
        <v>8</v>
      </c>
      <c r="D42" s="64">
        <f t="shared" si="2"/>
        <v>35</v>
      </c>
      <c r="E42" s="65" t="s">
        <v>18</v>
      </c>
      <c r="F42" s="66"/>
      <c r="G42" s="64"/>
      <c r="H42" s="67"/>
      <c r="I42" s="67"/>
      <c r="J42" s="64"/>
      <c r="K42" s="68">
        <f>SUM(CALCULATIONS!B36)+(('BOX ORDER'!J42)*100)+350</f>
        <v>350</v>
      </c>
      <c r="L42" s="23">
        <f t="shared" si="5"/>
        <v>390</v>
      </c>
      <c r="M42" s="23"/>
      <c r="P42" s="64">
        <v>35</v>
      </c>
      <c r="Q42" s="64" t="str">
        <v>HOODS</v>
      </c>
      <c r="R42" s="64">
        <v>0</v>
      </c>
      <c r="S42" s="64">
        <v>0</v>
      </c>
      <c r="T42" s="64">
        <v>0</v>
      </c>
      <c r="U42" s="64">
        <v>0</v>
      </c>
      <c r="V42" s="64">
        <v>0</v>
      </c>
      <c r="W42" s="23">
        <v>350</v>
      </c>
      <c r="X42" s="23">
        <v>390</v>
      </c>
      <c r="Y42" s="24">
        <v>0</v>
      </c>
    </row>
    <row r="43" spans="1:25" ht="60" hidden="1" customHeight="1" x14ac:dyDescent="0.25">
      <c r="A43" s="10" t="str">
        <f t="shared" si="6"/>
        <v/>
      </c>
      <c r="B43" s="10" t="s">
        <v>8</v>
      </c>
      <c r="D43" s="64">
        <f t="shared" si="2"/>
        <v>36</v>
      </c>
      <c r="E43" s="65" t="s">
        <v>18</v>
      </c>
      <c r="F43" s="66"/>
      <c r="G43" s="64"/>
      <c r="H43" s="67"/>
      <c r="I43" s="67"/>
      <c r="J43" s="64"/>
      <c r="K43" s="68">
        <f>SUM(CALCULATIONS!B37)+(('BOX ORDER'!J43)*100)+350</f>
        <v>350</v>
      </c>
      <c r="L43" s="23">
        <f t="shared" si="5"/>
        <v>390</v>
      </c>
      <c r="M43" s="23"/>
      <c r="P43" s="64">
        <v>36</v>
      </c>
      <c r="Q43" s="64" t="str">
        <v>HOODS</v>
      </c>
      <c r="R43" s="64">
        <v>0</v>
      </c>
      <c r="S43" s="64">
        <v>0</v>
      </c>
      <c r="T43" s="64">
        <v>0</v>
      </c>
      <c r="U43" s="64">
        <v>0</v>
      </c>
      <c r="V43" s="64">
        <v>0</v>
      </c>
      <c r="W43" s="23">
        <v>350</v>
      </c>
      <c r="X43" s="23">
        <v>390</v>
      </c>
      <c r="Y43" s="24">
        <v>0</v>
      </c>
    </row>
    <row r="44" spans="1:25" ht="60" hidden="1" customHeight="1" x14ac:dyDescent="0.25">
      <c r="A44" s="10" t="str">
        <f t="shared" si="6"/>
        <v/>
      </c>
      <c r="B44" s="10" t="s">
        <v>8</v>
      </c>
      <c r="D44" s="64">
        <f t="shared" si="2"/>
        <v>37</v>
      </c>
      <c r="E44" s="65" t="s">
        <v>18</v>
      </c>
      <c r="F44" s="66"/>
      <c r="G44" s="64"/>
      <c r="H44" s="67"/>
      <c r="I44" s="67"/>
      <c r="J44" s="64"/>
      <c r="K44" s="68">
        <f>SUM(CALCULATIONS!B38)+(('BOX ORDER'!J44)*100)+350</f>
        <v>350</v>
      </c>
      <c r="L44" s="23">
        <f t="shared" si="5"/>
        <v>390</v>
      </c>
      <c r="M44" s="23"/>
      <c r="P44" s="64">
        <v>37</v>
      </c>
      <c r="Q44" s="64" t="str">
        <v>HOODS</v>
      </c>
      <c r="R44" s="64">
        <v>0</v>
      </c>
      <c r="S44" s="64">
        <v>0</v>
      </c>
      <c r="T44" s="64">
        <v>0</v>
      </c>
      <c r="U44" s="64">
        <v>0</v>
      </c>
      <c r="V44" s="64">
        <v>0</v>
      </c>
      <c r="W44" s="23">
        <v>350</v>
      </c>
      <c r="X44" s="23">
        <v>390</v>
      </c>
      <c r="Y44" s="24">
        <v>0</v>
      </c>
    </row>
    <row r="45" spans="1:25" ht="60" hidden="1" customHeight="1" x14ac:dyDescent="0.25">
      <c r="A45" s="10" t="str">
        <f t="shared" si="6"/>
        <v/>
      </c>
      <c r="B45" s="10" t="s">
        <v>8</v>
      </c>
      <c r="D45" s="64">
        <f t="shared" si="2"/>
        <v>38</v>
      </c>
      <c r="E45" s="65" t="s">
        <v>18</v>
      </c>
      <c r="F45" s="66"/>
      <c r="G45" s="64"/>
      <c r="H45" s="67"/>
      <c r="I45" s="67"/>
      <c r="J45" s="64"/>
      <c r="K45" s="68">
        <f>SUM(CALCULATIONS!B39)+(('BOX ORDER'!J45)*100)+350</f>
        <v>350</v>
      </c>
      <c r="L45" s="23">
        <f t="shared" si="5"/>
        <v>390</v>
      </c>
      <c r="M45" s="23"/>
      <c r="P45" s="64">
        <v>38</v>
      </c>
      <c r="Q45" s="64" t="str">
        <v>HOODS</v>
      </c>
      <c r="R45" s="64">
        <v>0</v>
      </c>
      <c r="S45" s="64">
        <v>0</v>
      </c>
      <c r="T45" s="64">
        <v>0</v>
      </c>
      <c r="U45" s="64">
        <v>0</v>
      </c>
      <c r="V45" s="64">
        <v>0</v>
      </c>
      <c r="W45" s="23">
        <v>350</v>
      </c>
      <c r="X45" s="23">
        <v>390</v>
      </c>
      <c r="Y45" s="24">
        <v>0</v>
      </c>
    </row>
    <row r="46" spans="1:25" ht="60" hidden="1" customHeight="1" x14ac:dyDescent="0.25">
      <c r="A46" s="10" t="str">
        <f t="shared" si="6"/>
        <v/>
      </c>
      <c r="B46" s="10" t="s">
        <v>8</v>
      </c>
      <c r="D46" s="64">
        <f t="shared" si="2"/>
        <v>39</v>
      </c>
      <c r="E46" s="65" t="s">
        <v>18</v>
      </c>
      <c r="F46" s="66"/>
      <c r="G46" s="64"/>
      <c r="H46" s="67"/>
      <c r="I46" s="67"/>
      <c r="J46" s="64"/>
      <c r="K46" s="68">
        <f>SUM(CALCULATIONS!B40)+(('BOX ORDER'!J46)*100)+350</f>
        <v>350</v>
      </c>
      <c r="L46" s="23">
        <f t="shared" si="5"/>
        <v>390</v>
      </c>
      <c r="M46" s="23"/>
      <c r="P46" s="64">
        <v>39</v>
      </c>
      <c r="Q46" s="64" t="str">
        <v>HOODS</v>
      </c>
      <c r="R46" s="64">
        <v>0</v>
      </c>
      <c r="S46" s="64">
        <v>0</v>
      </c>
      <c r="T46" s="64">
        <v>0</v>
      </c>
      <c r="U46" s="64">
        <v>0</v>
      </c>
      <c r="V46" s="64">
        <v>0</v>
      </c>
      <c r="W46" s="23">
        <v>350</v>
      </c>
      <c r="X46" s="23">
        <v>390</v>
      </c>
      <c r="Y46" s="24">
        <v>0</v>
      </c>
    </row>
    <row r="47" spans="1:25" ht="60" hidden="1" customHeight="1" x14ac:dyDescent="0.25">
      <c r="A47" s="10" t="str">
        <f t="shared" si="6"/>
        <v/>
      </c>
      <c r="B47" s="10" t="s">
        <v>8</v>
      </c>
      <c r="D47" s="64">
        <f t="shared" si="2"/>
        <v>40</v>
      </c>
      <c r="E47" s="65" t="s">
        <v>18</v>
      </c>
      <c r="F47" s="66"/>
      <c r="G47" s="64"/>
      <c r="H47" s="67"/>
      <c r="I47" s="67"/>
      <c r="J47" s="64"/>
      <c r="K47" s="68">
        <f>SUM(CALCULATIONS!B41)+(('BOX ORDER'!J47)*100)+350</f>
        <v>350</v>
      </c>
      <c r="L47" s="23">
        <f t="shared" si="5"/>
        <v>390</v>
      </c>
      <c r="M47" s="23"/>
      <c r="P47" s="64">
        <v>40</v>
      </c>
      <c r="Q47" s="64" t="str">
        <v>HOODS</v>
      </c>
      <c r="R47" s="64">
        <v>0</v>
      </c>
      <c r="S47" s="64">
        <v>0</v>
      </c>
      <c r="T47" s="64">
        <v>0</v>
      </c>
      <c r="U47" s="64">
        <v>0</v>
      </c>
      <c r="V47" s="64">
        <v>0</v>
      </c>
      <c r="W47" s="23">
        <v>350</v>
      </c>
      <c r="X47" s="23">
        <v>390</v>
      </c>
      <c r="Y47" s="24">
        <v>0</v>
      </c>
    </row>
    <row r="48" spans="1:25" ht="60" hidden="1" customHeight="1" x14ac:dyDescent="0.25">
      <c r="A48" s="10" t="str">
        <f t="shared" si="6"/>
        <v/>
      </c>
      <c r="B48" s="10" t="s">
        <v>8</v>
      </c>
      <c r="D48" s="64">
        <f t="shared" si="2"/>
        <v>41</v>
      </c>
      <c r="E48" s="65" t="s">
        <v>18</v>
      </c>
      <c r="F48" s="66"/>
      <c r="G48" s="64"/>
      <c r="H48" s="67"/>
      <c r="I48" s="67"/>
      <c r="J48" s="64"/>
      <c r="K48" s="68">
        <f>SUM(CALCULATIONS!B42)+(('BOX ORDER'!J48)*100)+350</f>
        <v>350</v>
      </c>
      <c r="L48" s="23">
        <f t="shared" si="5"/>
        <v>390</v>
      </c>
      <c r="M48" s="23"/>
      <c r="P48" s="64">
        <v>41</v>
      </c>
      <c r="Q48" s="64" t="str">
        <v>HOODS</v>
      </c>
      <c r="R48" s="64">
        <v>0</v>
      </c>
      <c r="S48" s="64">
        <v>0</v>
      </c>
      <c r="T48" s="64">
        <v>0</v>
      </c>
      <c r="U48" s="64">
        <v>0</v>
      </c>
      <c r="V48" s="64">
        <v>0</v>
      </c>
      <c r="W48" s="23">
        <v>350</v>
      </c>
      <c r="X48" s="23">
        <v>390</v>
      </c>
      <c r="Y48" s="24">
        <v>0</v>
      </c>
    </row>
    <row r="49" spans="1:25" ht="60" hidden="1" customHeight="1" x14ac:dyDescent="0.25">
      <c r="A49" s="10" t="str">
        <f t="shared" si="6"/>
        <v/>
      </c>
      <c r="B49" s="10" t="s">
        <v>8</v>
      </c>
      <c r="D49" s="64">
        <f t="shared" si="2"/>
        <v>42</v>
      </c>
      <c r="E49" s="65" t="s">
        <v>18</v>
      </c>
      <c r="F49" s="66"/>
      <c r="G49" s="64"/>
      <c r="H49" s="67"/>
      <c r="I49" s="67"/>
      <c r="J49" s="64"/>
      <c r="K49" s="68">
        <f>SUM(CALCULATIONS!B43)+(('BOX ORDER'!J49)*100)+350</f>
        <v>350</v>
      </c>
      <c r="L49" s="23">
        <f t="shared" si="5"/>
        <v>390</v>
      </c>
      <c r="M49" s="23"/>
      <c r="P49" s="64">
        <v>42</v>
      </c>
      <c r="Q49" s="64" t="str">
        <v>HOODS</v>
      </c>
      <c r="R49" s="64">
        <v>0</v>
      </c>
      <c r="S49" s="64">
        <v>0</v>
      </c>
      <c r="T49" s="64">
        <v>0</v>
      </c>
      <c r="U49" s="64">
        <v>0</v>
      </c>
      <c r="V49" s="64">
        <v>0</v>
      </c>
      <c r="W49" s="23">
        <v>350</v>
      </c>
      <c r="X49" s="23">
        <v>390</v>
      </c>
      <c r="Y49" s="24">
        <v>0</v>
      </c>
    </row>
    <row r="50" spans="1:25" ht="60" hidden="1" customHeight="1" x14ac:dyDescent="0.25">
      <c r="A50" s="10" t="str">
        <f t="shared" si="6"/>
        <v/>
      </c>
      <c r="B50" s="10" t="s">
        <v>8</v>
      </c>
      <c r="D50" s="64">
        <f t="shared" si="2"/>
        <v>43</v>
      </c>
      <c r="E50" s="65" t="s">
        <v>18</v>
      </c>
      <c r="F50" s="66"/>
      <c r="G50" s="64"/>
      <c r="H50" s="67"/>
      <c r="I50" s="67"/>
      <c r="J50" s="64"/>
      <c r="K50" s="68">
        <f>SUM(CALCULATIONS!B44)+(('BOX ORDER'!J50)*100)+350</f>
        <v>350</v>
      </c>
      <c r="L50" s="23">
        <f t="shared" si="5"/>
        <v>390</v>
      </c>
      <c r="M50" s="23"/>
      <c r="P50" s="64">
        <v>43</v>
      </c>
      <c r="Q50" s="64" t="str">
        <v>HOODS</v>
      </c>
      <c r="R50" s="64">
        <v>0</v>
      </c>
      <c r="S50" s="64">
        <v>0</v>
      </c>
      <c r="T50" s="64">
        <v>0</v>
      </c>
      <c r="U50" s="64">
        <v>0</v>
      </c>
      <c r="V50" s="64">
        <v>0</v>
      </c>
      <c r="W50" s="23">
        <v>350</v>
      </c>
      <c r="X50" s="23">
        <v>390</v>
      </c>
      <c r="Y50" s="24">
        <v>0</v>
      </c>
    </row>
    <row r="51" spans="1:25" ht="60" hidden="1" customHeight="1" x14ac:dyDescent="0.25">
      <c r="A51" s="10" t="str">
        <f t="shared" si="6"/>
        <v/>
      </c>
      <c r="B51" s="10" t="s">
        <v>8</v>
      </c>
      <c r="D51" s="64">
        <f t="shared" si="2"/>
        <v>44</v>
      </c>
      <c r="E51" s="65" t="s">
        <v>18</v>
      </c>
      <c r="F51" s="66"/>
      <c r="G51" s="64"/>
      <c r="H51" s="67"/>
      <c r="I51" s="67"/>
      <c r="J51" s="64"/>
      <c r="K51" s="68">
        <f>SUM(CALCULATIONS!B45)+(('BOX ORDER'!J51)*100)+350</f>
        <v>350</v>
      </c>
      <c r="L51" s="23">
        <f t="shared" si="5"/>
        <v>390</v>
      </c>
      <c r="M51" s="23"/>
      <c r="P51" s="64">
        <v>44</v>
      </c>
      <c r="Q51" s="64" t="str">
        <v>HOODS</v>
      </c>
      <c r="R51" s="64">
        <v>0</v>
      </c>
      <c r="S51" s="64">
        <v>0</v>
      </c>
      <c r="T51" s="64">
        <v>0</v>
      </c>
      <c r="U51" s="64">
        <v>0</v>
      </c>
      <c r="V51" s="64">
        <v>0</v>
      </c>
      <c r="W51" s="23">
        <v>350</v>
      </c>
      <c r="X51" s="23">
        <v>390</v>
      </c>
      <c r="Y51" s="24">
        <v>0</v>
      </c>
    </row>
    <row r="52" spans="1:25" ht="60" hidden="1" customHeight="1" x14ac:dyDescent="0.25">
      <c r="A52" s="10" t="str">
        <f t="shared" si="6"/>
        <v/>
      </c>
      <c r="B52" s="10" t="s">
        <v>8</v>
      </c>
      <c r="D52" s="64">
        <f t="shared" si="2"/>
        <v>45</v>
      </c>
      <c r="E52" s="65" t="s">
        <v>18</v>
      </c>
      <c r="F52" s="66"/>
      <c r="G52" s="64"/>
      <c r="H52" s="67"/>
      <c r="I52" s="67"/>
      <c r="J52" s="64"/>
      <c r="K52" s="68">
        <f>SUM(CALCULATIONS!B46)+(('BOX ORDER'!J52)*100)+350</f>
        <v>350</v>
      </c>
      <c r="L52" s="23">
        <f t="shared" si="5"/>
        <v>390</v>
      </c>
      <c r="M52" s="23"/>
      <c r="P52" s="64">
        <v>45</v>
      </c>
      <c r="Q52" s="64" t="str">
        <v>HOODS</v>
      </c>
      <c r="R52" s="64">
        <v>0</v>
      </c>
      <c r="S52" s="64">
        <v>0</v>
      </c>
      <c r="T52" s="64">
        <v>0</v>
      </c>
      <c r="U52" s="64">
        <v>0</v>
      </c>
      <c r="V52" s="64">
        <v>0</v>
      </c>
      <c r="W52" s="23">
        <v>350</v>
      </c>
      <c r="X52" s="23">
        <v>390</v>
      </c>
      <c r="Y52" s="24">
        <v>0</v>
      </c>
    </row>
    <row r="53" spans="1:25" ht="60" hidden="1" customHeight="1" x14ac:dyDescent="0.25">
      <c r="A53" s="10" t="str">
        <f t="shared" si="6"/>
        <v/>
      </c>
      <c r="B53" s="10" t="s">
        <v>8</v>
      </c>
      <c r="D53" s="64">
        <f t="shared" si="2"/>
        <v>46</v>
      </c>
      <c r="E53" s="65" t="s">
        <v>18</v>
      </c>
      <c r="F53" s="66"/>
      <c r="G53" s="64"/>
      <c r="H53" s="67"/>
      <c r="I53" s="67"/>
      <c r="J53" s="64"/>
      <c r="K53" s="68">
        <f>SUM(CALCULATIONS!B47)+(('BOX ORDER'!J53)*100)+350</f>
        <v>350</v>
      </c>
      <c r="L53" s="23">
        <f t="shared" si="5"/>
        <v>390</v>
      </c>
      <c r="M53" s="23"/>
      <c r="P53" s="64">
        <v>46</v>
      </c>
      <c r="Q53" s="64" t="str">
        <v>HOODS</v>
      </c>
      <c r="R53" s="64">
        <v>0</v>
      </c>
      <c r="S53" s="64">
        <v>0</v>
      </c>
      <c r="T53" s="64">
        <v>0</v>
      </c>
      <c r="U53" s="64">
        <v>0</v>
      </c>
      <c r="V53" s="64">
        <v>0</v>
      </c>
      <c r="W53" s="23">
        <v>350</v>
      </c>
      <c r="X53" s="23">
        <v>390</v>
      </c>
      <c r="Y53" s="24">
        <v>0</v>
      </c>
    </row>
    <row r="54" spans="1:25" ht="60" hidden="1" customHeight="1" x14ac:dyDescent="0.25">
      <c r="A54" s="10" t="str">
        <f t="shared" si="6"/>
        <v/>
      </c>
      <c r="B54" s="10" t="s">
        <v>8</v>
      </c>
      <c r="D54" s="64">
        <f t="shared" si="2"/>
        <v>47</v>
      </c>
      <c r="E54" s="65" t="s">
        <v>18</v>
      </c>
      <c r="F54" s="66"/>
      <c r="G54" s="64"/>
      <c r="H54" s="67"/>
      <c r="I54" s="67"/>
      <c r="J54" s="64"/>
      <c r="K54" s="68">
        <f>SUM(CALCULATIONS!B48)+(('BOX ORDER'!J54)*100)+350</f>
        <v>350</v>
      </c>
      <c r="L54" s="23">
        <f t="shared" si="5"/>
        <v>390</v>
      </c>
      <c r="M54" s="23"/>
      <c r="P54" s="64">
        <v>47</v>
      </c>
      <c r="Q54" s="64" t="str">
        <v>HOODS</v>
      </c>
      <c r="R54" s="64">
        <v>0</v>
      </c>
      <c r="S54" s="64">
        <v>0</v>
      </c>
      <c r="T54" s="64">
        <v>0</v>
      </c>
      <c r="U54" s="64">
        <v>0</v>
      </c>
      <c r="V54" s="64">
        <v>0</v>
      </c>
      <c r="W54" s="23">
        <v>350</v>
      </c>
      <c r="X54" s="23">
        <v>390</v>
      </c>
      <c r="Y54" s="24">
        <v>0</v>
      </c>
    </row>
    <row r="55" spans="1:25" ht="60" hidden="1" customHeight="1" x14ac:dyDescent="0.25">
      <c r="A55" s="10" t="str">
        <f t="shared" si="6"/>
        <v/>
      </c>
      <c r="B55" s="10" t="s">
        <v>8</v>
      </c>
      <c r="D55" s="64">
        <f t="shared" si="2"/>
        <v>48</v>
      </c>
      <c r="E55" s="65" t="s">
        <v>18</v>
      </c>
      <c r="F55" s="66"/>
      <c r="G55" s="64"/>
      <c r="H55" s="67"/>
      <c r="I55" s="67"/>
      <c r="J55" s="64"/>
      <c r="K55" s="68">
        <f>SUM(CALCULATIONS!B49)+(('BOX ORDER'!J55)*100)+350</f>
        <v>350</v>
      </c>
      <c r="L55" s="23">
        <f t="shared" si="5"/>
        <v>390</v>
      </c>
      <c r="M55" s="23"/>
      <c r="P55" s="64">
        <v>48</v>
      </c>
      <c r="Q55" s="64" t="str">
        <v>HOODS</v>
      </c>
      <c r="R55" s="64">
        <v>0</v>
      </c>
      <c r="S55" s="64">
        <v>0</v>
      </c>
      <c r="T55" s="64">
        <v>0</v>
      </c>
      <c r="U55" s="64">
        <v>0</v>
      </c>
      <c r="V55" s="64">
        <v>0</v>
      </c>
      <c r="W55" s="23">
        <v>350</v>
      </c>
      <c r="X55" s="23">
        <v>390</v>
      </c>
      <c r="Y55" s="24">
        <v>0</v>
      </c>
    </row>
    <row r="56" spans="1:25" ht="60" hidden="1" customHeight="1" x14ac:dyDescent="0.25">
      <c r="A56" s="10" t="str">
        <f t="shared" si="6"/>
        <v/>
      </c>
      <c r="B56" s="10" t="s">
        <v>8</v>
      </c>
      <c r="D56" s="64">
        <f t="shared" si="2"/>
        <v>49</v>
      </c>
      <c r="E56" s="65" t="s">
        <v>18</v>
      </c>
      <c r="F56" s="66"/>
      <c r="G56" s="64"/>
      <c r="H56" s="67"/>
      <c r="I56" s="67"/>
      <c r="J56" s="64"/>
      <c r="K56" s="68">
        <f>SUM(CALCULATIONS!B50)+(('BOX ORDER'!J56)*100)+350</f>
        <v>350</v>
      </c>
      <c r="L56" s="23">
        <f t="shared" si="5"/>
        <v>390</v>
      </c>
      <c r="M56" s="23"/>
      <c r="P56" s="64">
        <v>49</v>
      </c>
      <c r="Q56" s="64" t="str">
        <v>HOODS</v>
      </c>
      <c r="R56" s="64">
        <v>0</v>
      </c>
      <c r="S56" s="64">
        <v>0</v>
      </c>
      <c r="T56" s="64">
        <v>0</v>
      </c>
      <c r="U56" s="64">
        <v>0</v>
      </c>
      <c r="V56" s="64">
        <v>0</v>
      </c>
      <c r="W56" s="23">
        <v>350</v>
      </c>
      <c r="X56" s="23">
        <v>390</v>
      </c>
      <c r="Y56" s="24">
        <v>0</v>
      </c>
    </row>
    <row r="57" spans="1:25" ht="60" hidden="1" customHeight="1" x14ac:dyDescent="0.25">
      <c r="A57" s="10" t="str">
        <f t="shared" si="6"/>
        <v/>
      </c>
      <c r="B57" s="10" t="s">
        <v>8</v>
      </c>
      <c r="D57" s="64">
        <f t="shared" si="2"/>
        <v>50</v>
      </c>
      <c r="E57" s="65" t="s">
        <v>18</v>
      </c>
      <c r="F57" s="66"/>
      <c r="G57" s="64"/>
      <c r="H57" s="67"/>
      <c r="I57" s="67"/>
      <c r="J57" s="64"/>
      <c r="K57" s="68">
        <f>SUM(CALCULATIONS!B51)+(('BOX ORDER'!J57)*100)+350</f>
        <v>350</v>
      </c>
      <c r="L57" s="23">
        <f t="shared" si="5"/>
        <v>390</v>
      </c>
      <c r="M57" s="23"/>
      <c r="P57" s="64">
        <v>50</v>
      </c>
      <c r="Q57" s="64" t="str">
        <v>HOODS</v>
      </c>
      <c r="R57" s="64">
        <v>0</v>
      </c>
      <c r="S57" s="64">
        <v>0</v>
      </c>
      <c r="T57" s="64">
        <v>0</v>
      </c>
      <c r="U57" s="64">
        <v>0</v>
      </c>
      <c r="V57" s="64">
        <v>0</v>
      </c>
      <c r="W57" s="23">
        <v>350</v>
      </c>
      <c r="X57" s="23">
        <v>390</v>
      </c>
      <c r="Y57" s="24">
        <v>0</v>
      </c>
    </row>
    <row r="58" spans="1:25" ht="60" hidden="1" customHeight="1" x14ac:dyDescent="0.25">
      <c r="A58" s="10" t="str">
        <f t="shared" si="6"/>
        <v/>
      </c>
      <c r="B58" s="10" t="s">
        <v>8</v>
      </c>
      <c r="D58" s="64">
        <f t="shared" si="2"/>
        <v>51</v>
      </c>
      <c r="E58" s="65" t="s">
        <v>18</v>
      </c>
      <c r="F58" s="66"/>
      <c r="G58" s="64"/>
      <c r="H58" s="67"/>
      <c r="I58" s="67"/>
      <c r="J58" s="64"/>
      <c r="K58" s="68">
        <f>SUM(CALCULATIONS!B52)+(('BOX ORDER'!J58)*100)+350</f>
        <v>350</v>
      </c>
      <c r="L58" s="23">
        <f t="shared" si="5"/>
        <v>390</v>
      </c>
      <c r="M58" s="23"/>
      <c r="P58" s="64">
        <v>51</v>
      </c>
      <c r="Q58" s="64" t="str">
        <v>HOODS</v>
      </c>
      <c r="R58" s="64">
        <v>0</v>
      </c>
      <c r="S58" s="64">
        <v>0</v>
      </c>
      <c r="T58" s="64">
        <v>0</v>
      </c>
      <c r="U58" s="64">
        <v>0</v>
      </c>
      <c r="V58" s="64">
        <v>0</v>
      </c>
      <c r="W58" s="23">
        <v>350</v>
      </c>
      <c r="X58" s="23">
        <v>390</v>
      </c>
      <c r="Y58" s="24">
        <v>0</v>
      </c>
    </row>
    <row r="59" spans="1:25" ht="60" hidden="1" customHeight="1" x14ac:dyDescent="0.25">
      <c r="A59" s="10" t="str">
        <f t="shared" si="6"/>
        <v/>
      </c>
      <c r="B59" s="10" t="s">
        <v>8</v>
      </c>
      <c r="D59" s="64">
        <f t="shared" si="2"/>
        <v>52</v>
      </c>
      <c r="E59" s="65" t="s">
        <v>18</v>
      </c>
      <c r="F59" s="66"/>
      <c r="G59" s="64"/>
      <c r="H59" s="67"/>
      <c r="I59" s="67"/>
      <c r="J59" s="64"/>
      <c r="K59" s="68">
        <f>SUM(CALCULATIONS!B53)+(('BOX ORDER'!J59)*100)+350</f>
        <v>350</v>
      </c>
      <c r="L59" s="23">
        <f t="shared" si="5"/>
        <v>390</v>
      </c>
      <c r="M59" s="23"/>
      <c r="P59" s="64">
        <v>52</v>
      </c>
      <c r="Q59" s="64" t="str">
        <v>HOODS</v>
      </c>
      <c r="R59" s="64">
        <v>0</v>
      </c>
      <c r="S59" s="64">
        <v>0</v>
      </c>
      <c r="T59" s="64">
        <v>0</v>
      </c>
      <c r="U59" s="64">
        <v>0</v>
      </c>
      <c r="V59" s="64">
        <v>0</v>
      </c>
      <c r="W59" s="23">
        <v>350</v>
      </c>
      <c r="X59" s="23">
        <v>390</v>
      </c>
      <c r="Y59" s="24">
        <v>0</v>
      </c>
    </row>
    <row r="60" spans="1:25" ht="60" hidden="1" customHeight="1" x14ac:dyDescent="0.25">
      <c r="A60" s="10" t="str">
        <f t="shared" si="6"/>
        <v/>
      </c>
      <c r="B60" s="10" t="s">
        <v>8</v>
      </c>
      <c r="D60" s="64">
        <f t="shared" si="2"/>
        <v>53</v>
      </c>
      <c r="E60" s="65" t="s">
        <v>18</v>
      </c>
      <c r="F60" s="66"/>
      <c r="G60" s="64"/>
      <c r="H60" s="67"/>
      <c r="I60" s="67"/>
      <c r="J60" s="64"/>
      <c r="K60" s="68">
        <f>SUM(CALCULATIONS!B54)+(('BOX ORDER'!J60)*100)+350</f>
        <v>350</v>
      </c>
      <c r="L60" s="23">
        <f t="shared" si="5"/>
        <v>390</v>
      </c>
      <c r="M60" s="23"/>
      <c r="P60" s="64">
        <v>53</v>
      </c>
      <c r="Q60" s="64" t="str">
        <v>HOODS</v>
      </c>
      <c r="R60" s="64">
        <v>0</v>
      </c>
      <c r="S60" s="64">
        <v>0</v>
      </c>
      <c r="T60" s="64">
        <v>0</v>
      </c>
      <c r="U60" s="64">
        <v>0</v>
      </c>
      <c r="V60" s="64">
        <v>0</v>
      </c>
      <c r="W60" s="23">
        <v>350</v>
      </c>
      <c r="X60" s="23">
        <v>390</v>
      </c>
      <c r="Y60" s="24">
        <v>0</v>
      </c>
    </row>
    <row r="61" spans="1:25" ht="60" hidden="1" customHeight="1" x14ac:dyDescent="0.25">
      <c r="A61" s="10" t="str">
        <f t="shared" si="6"/>
        <v/>
      </c>
      <c r="B61" s="10" t="s">
        <v>8</v>
      </c>
      <c r="D61" s="64">
        <f t="shared" si="2"/>
        <v>54</v>
      </c>
      <c r="E61" s="65" t="s">
        <v>18</v>
      </c>
      <c r="F61" s="66"/>
      <c r="G61" s="64"/>
      <c r="H61" s="67"/>
      <c r="I61" s="67"/>
      <c r="J61" s="64"/>
      <c r="K61" s="68">
        <f>SUM(CALCULATIONS!B55)+(('BOX ORDER'!J61)*100)+350</f>
        <v>350</v>
      </c>
      <c r="L61" s="23">
        <f t="shared" si="5"/>
        <v>390</v>
      </c>
      <c r="M61" s="23"/>
      <c r="P61" s="64">
        <v>54</v>
      </c>
      <c r="Q61" s="64" t="str">
        <v>HOODS</v>
      </c>
      <c r="R61" s="64">
        <v>0</v>
      </c>
      <c r="S61" s="64">
        <v>0</v>
      </c>
      <c r="T61" s="64">
        <v>0</v>
      </c>
      <c r="U61" s="64">
        <v>0</v>
      </c>
      <c r="V61" s="64">
        <v>0</v>
      </c>
      <c r="W61" s="23">
        <v>350</v>
      </c>
      <c r="X61" s="23">
        <v>390</v>
      </c>
      <c r="Y61" s="24">
        <v>0</v>
      </c>
    </row>
    <row r="62" spans="1:25" ht="60" hidden="1" customHeight="1" x14ac:dyDescent="0.25">
      <c r="A62" s="10" t="str">
        <f t="shared" si="6"/>
        <v/>
      </c>
      <c r="B62" s="10" t="s">
        <v>8</v>
      </c>
      <c r="D62" s="64">
        <f t="shared" si="2"/>
        <v>55</v>
      </c>
      <c r="E62" s="65" t="s">
        <v>18</v>
      </c>
      <c r="F62" s="66"/>
      <c r="G62" s="64"/>
      <c r="H62" s="67"/>
      <c r="I62" s="67"/>
      <c r="J62" s="64"/>
      <c r="K62" s="68">
        <f>SUM(CALCULATIONS!B56)+(('BOX ORDER'!J62)*100)+350</f>
        <v>350</v>
      </c>
      <c r="L62" s="23">
        <f t="shared" si="5"/>
        <v>390</v>
      </c>
      <c r="M62" s="23"/>
      <c r="P62" s="64">
        <v>55</v>
      </c>
      <c r="Q62" s="64" t="str">
        <v>HOODS</v>
      </c>
      <c r="R62" s="64">
        <v>0</v>
      </c>
      <c r="S62" s="64">
        <v>0</v>
      </c>
      <c r="T62" s="64">
        <v>0</v>
      </c>
      <c r="U62" s="64">
        <v>0</v>
      </c>
      <c r="V62" s="64">
        <v>0</v>
      </c>
      <c r="W62" s="23">
        <v>350</v>
      </c>
      <c r="X62" s="23">
        <v>390</v>
      </c>
      <c r="Y62" s="24">
        <v>0</v>
      </c>
    </row>
    <row r="63" spans="1:25" ht="60" hidden="1" customHeight="1" x14ac:dyDescent="0.25">
      <c r="A63" s="10" t="str">
        <f t="shared" si="6"/>
        <v/>
      </c>
      <c r="B63" s="10" t="s">
        <v>8</v>
      </c>
      <c r="D63" s="64">
        <f t="shared" si="2"/>
        <v>56</v>
      </c>
      <c r="E63" s="65" t="s">
        <v>18</v>
      </c>
      <c r="F63" s="66"/>
      <c r="G63" s="64"/>
      <c r="H63" s="67"/>
      <c r="I63" s="67"/>
      <c r="J63" s="64"/>
      <c r="K63" s="68">
        <f>SUM(CALCULATIONS!B57)+(('BOX ORDER'!J63)*100)+350</f>
        <v>350</v>
      </c>
      <c r="L63" s="23">
        <f t="shared" si="5"/>
        <v>390</v>
      </c>
      <c r="M63" s="23"/>
      <c r="P63" s="64">
        <v>56</v>
      </c>
      <c r="Q63" s="64" t="str">
        <v>HOODS</v>
      </c>
      <c r="R63" s="64">
        <v>0</v>
      </c>
      <c r="S63" s="64">
        <v>0</v>
      </c>
      <c r="T63" s="64">
        <v>0</v>
      </c>
      <c r="U63" s="64">
        <v>0</v>
      </c>
      <c r="V63" s="64">
        <v>0</v>
      </c>
      <c r="W63" s="23">
        <v>350</v>
      </c>
      <c r="X63" s="23">
        <v>390</v>
      </c>
      <c r="Y63" s="24">
        <v>0</v>
      </c>
    </row>
    <row r="64" spans="1:25" ht="60" hidden="1" customHeight="1" x14ac:dyDescent="0.25">
      <c r="A64" s="10" t="str">
        <f t="shared" si="6"/>
        <v/>
      </c>
      <c r="B64" s="10" t="s">
        <v>8</v>
      </c>
      <c r="D64" s="64">
        <f t="shared" si="2"/>
        <v>57</v>
      </c>
      <c r="E64" s="65" t="s">
        <v>18</v>
      </c>
      <c r="F64" s="66"/>
      <c r="G64" s="64"/>
      <c r="H64" s="67"/>
      <c r="I64" s="67"/>
      <c r="J64" s="64"/>
      <c r="K64" s="68">
        <f>SUM(CALCULATIONS!B58)+(('BOX ORDER'!J64)*100)+350</f>
        <v>350</v>
      </c>
      <c r="L64" s="23">
        <f t="shared" si="5"/>
        <v>390</v>
      </c>
      <c r="M64" s="23"/>
      <c r="P64" s="64">
        <v>57</v>
      </c>
      <c r="Q64" s="64" t="str">
        <v>HOODS</v>
      </c>
      <c r="R64" s="64">
        <v>0</v>
      </c>
      <c r="S64" s="64">
        <v>0</v>
      </c>
      <c r="T64" s="64">
        <v>0</v>
      </c>
      <c r="U64" s="64">
        <v>0</v>
      </c>
      <c r="V64" s="64">
        <v>0</v>
      </c>
      <c r="W64" s="23">
        <v>350</v>
      </c>
      <c r="X64" s="23">
        <v>390</v>
      </c>
      <c r="Y64" s="24">
        <v>0</v>
      </c>
    </row>
    <row r="65" spans="1:25" ht="60" hidden="1" customHeight="1" x14ac:dyDescent="0.25">
      <c r="A65" s="10" t="str">
        <f t="shared" si="6"/>
        <v/>
      </c>
      <c r="B65" s="10" t="s">
        <v>8</v>
      </c>
      <c r="D65" s="64">
        <f t="shared" si="2"/>
        <v>58</v>
      </c>
      <c r="E65" s="65" t="s">
        <v>18</v>
      </c>
      <c r="F65" s="66"/>
      <c r="G65" s="64"/>
      <c r="H65" s="67"/>
      <c r="I65" s="67"/>
      <c r="J65" s="64"/>
      <c r="K65" s="68">
        <f>SUM(CALCULATIONS!B59)+(('BOX ORDER'!J65)*100)+350</f>
        <v>350</v>
      </c>
      <c r="L65" s="23">
        <f t="shared" si="5"/>
        <v>390</v>
      </c>
      <c r="M65" s="23"/>
      <c r="P65" s="64">
        <v>58</v>
      </c>
      <c r="Q65" s="64" t="str">
        <v>HOODS</v>
      </c>
      <c r="R65" s="64">
        <v>0</v>
      </c>
      <c r="S65" s="64">
        <v>0</v>
      </c>
      <c r="T65" s="64">
        <v>0</v>
      </c>
      <c r="U65" s="64">
        <v>0</v>
      </c>
      <c r="V65" s="64">
        <v>0</v>
      </c>
      <c r="W65" s="23">
        <v>350</v>
      </c>
      <c r="X65" s="23">
        <v>390</v>
      </c>
      <c r="Y65" s="24">
        <v>0</v>
      </c>
    </row>
    <row r="66" spans="1:25" ht="60" hidden="1" customHeight="1" x14ac:dyDescent="0.25">
      <c r="A66" s="10" t="str">
        <f t="shared" si="6"/>
        <v/>
      </c>
      <c r="B66" s="10" t="s">
        <v>8</v>
      </c>
      <c r="D66" s="64">
        <f t="shared" si="2"/>
        <v>59</v>
      </c>
      <c r="E66" s="65" t="s">
        <v>18</v>
      </c>
      <c r="F66" s="66"/>
      <c r="G66" s="64"/>
      <c r="H66" s="67"/>
      <c r="I66" s="67"/>
      <c r="J66" s="64"/>
      <c r="K66" s="68">
        <f>SUM(CALCULATIONS!B60)+(('BOX ORDER'!J66)*100)+350</f>
        <v>350</v>
      </c>
      <c r="L66" s="23">
        <f t="shared" si="5"/>
        <v>390</v>
      </c>
      <c r="M66" s="23"/>
      <c r="P66" s="64">
        <v>59</v>
      </c>
      <c r="Q66" s="64" t="str">
        <v>HOODS</v>
      </c>
      <c r="R66" s="64">
        <v>0</v>
      </c>
      <c r="S66" s="64">
        <v>0</v>
      </c>
      <c r="T66" s="64">
        <v>0</v>
      </c>
      <c r="U66" s="64">
        <v>0</v>
      </c>
      <c r="V66" s="64">
        <v>0</v>
      </c>
      <c r="W66" s="23">
        <v>350</v>
      </c>
      <c r="X66" s="23">
        <v>390</v>
      </c>
      <c r="Y66" s="24">
        <v>0</v>
      </c>
    </row>
    <row r="67" spans="1:25" ht="60" hidden="1" customHeight="1" x14ac:dyDescent="0.25">
      <c r="A67" s="10" t="str">
        <f t="shared" si="6"/>
        <v/>
      </c>
      <c r="B67" s="10" t="s">
        <v>8</v>
      </c>
      <c r="D67" s="64">
        <f t="shared" si="2"/>
        <v>60</v>
      </c>
      <c r="E67" s="65" t="s">
        <v>18</v>
      </c>
      <c r="F67" s="66"/>
      <c r="G67" s="64"/>
      <c r="H67" s="67"/>
      <c r="I67" s="67"/>
      <c r="J67" s="64"/>
      <c r="K67" s="68">
        <f>SUM(CALCULATIONS!B61)+(('BOX ORDER'!J67)*100)+350</f>
        <v>350</v>
      </c>
      <c r="L67" s="23">
        <f t="shared" si="5"/>
        <v>390</v>
      </c>
      <c r="M67" s="23"/>
      <c r="P67" s="64">
        <v>60</v>
      </c>
      <c r="Q67" s="64" t="str">
        <v>HOODS</v>
      </c>
      <c r="R67" s="64">
        <v>0</v>
      </c>
      <c r="S67" s="64">
        <v>0</v>
      </c>
      <c r="T67" s="64">
        <v>0</v>
      </c>
      <c r="U67" s="64">
        <v>0</v>
      </c>
      <c r="V67" s="64">
        <v>0</v>
      </c>
      <c r="W67" s="23">
        <v>350</v>
      </c>
      <c r="X67" s="23">
        <v>390</v>
      </c>
      <c r="Y67" s="24">
        <v>0</v>
      </c>
    </row>
    <row r="68" spans="1:25" ht="60" hidden="1" customHeight="1" x14ac:dyDescent="0.25">
      <c r="A68" s="10" t="str">
        <f t="shared" si="6"/>
        <v/>
      </c>
      <c r="B68" s="10" t="s">
        <v>8</v>
      </c>
      <c r="D68" s="64">
        <f t="shared" si="2"/>
        <v>61</v>
      </c>
      <c r="E68" s="65" t="s">
        <v>18</v>
      </c>
      <c r="F68" s="66"/>
      <c r="G68" s="64"/>
      <c r="H68" s="67"/>
      <c r="I68" s="67"/>
      <c r="J68" s="64"/>
      <c r="K68" s="68">
        <f>SUM(CALCULATIONS!B62)+(('BOX ORDER'!J68)*100)+350</f>
        <v>350</v>
      </c>
      <c r="L68" s="23">
        <f t="shared" si="5"/>
        <v>390</v>
      </c>
      <c r="M68" s="23"/>
      <c r="P68" s="64">
        <v>61</v>
      </c>
      <c r="Q68" s="64" t="str">
        <v>HOODS</v>
      </c>
      <c r="R68" s="64">
        <v>0</v>
      </c>
      <c r="S68" s="64">
        <v>0</v>
      </c>
      <c r="T68" s="64">
        <v>0</v>
      </c>
      <c r="U68" s="64">
        <v>0</v>
      </c>
      <c r="V68" s="64">
        <v>0</v>
      </c>
      <c r="W68" s="23">
        <v>350</v>
      </c>
      <c r="X68" s="23">
        <v>390</v>
      </c>
      <c r="Y68" s="24">
        <v>0</v>
      </c>
    </row>
    <row r="69" spans="1:25" ht="60" hidden="1" customHeight="1" x14ac:dyDescent="0.25">
      <c r="A69" s="10" t="str">
        <f t="shared" si="6"/>
        <v/>
      </c>
      <c r="B69" s="10" t="s">
        <v>8</v>
      </c>
      <c r="D69" s="64">
        <f t="shared" si="2"/>
        <v>62</v>
      </c>
      <c r="E69" s="65" t="s">
        <v>18</v>
      </c>
      <c r="F69" s="66"/>
      <c r="G69" s="64"/>
      <c r="H69" s="67"/>
      <c r="I69" s="67"/>
      <c r="J69" s="64"/>
      <c r="K69" s="68">
        <f>SUM(CALCULATIONS!B63)+(('BOX ORDER'!J69)*100)+350</f>
        <v>350</v>
      </c>
      <c r="L69" s="23">
        <f t="shared" si="5"/>
        <v>390</v>
      </c>
      <c r="M69" s="23"/>
      <c r="P69" s="64">
        <v>62</v>
      </c>
      <c r="Q69" s="64" t="str">
        <v>HOODS</v>
      </c>
      <c r="R69" s="64">
        <v>0</v>
      </c>
      <c r="S69" s="64">
        <v>0</v>
      </c>
      <c r="T69" s="64">
        <v>0</v>
      </c>
      <c r="U69" s="64">
        <v>0</v>
      </c>
      <c r="V69" s="64">
        <v>0</v>
      </c>
      <c r="W69" s="23">
        <v>350</v>
      </c>
      <c r="X69" s="23">
        <v>390</v>
      </c>
      <c r="Y69" s="24">
        <v>0</v>
      </c>
    </row>
    <row r="70" spans="1:25" ht="60" hidden="1" customHeight="1" x14ac:dyDescent="0.25">
      <c r="A70" s="10" t="str">
        <f t="shared" si="6"/>
        <v/>
      </c>
      <c r="B70" s="10" t="s">
        <v>8</v>
      </c>
      <c r="D70" s="64">
        <f t="shared" si="2"/>
        <v>63</v>
      </c>
      <c r="E70" s="65" t="s">
        <v>18</v>
      </c>
      <c r="F70" s="66"/>
      <c r="G70" s="64"/>
      <c r="H70" s="67"/>
      <c r="I70" s="67"/>
      <c r="J70" s="64"/>
      <c r="K70" s="68">
        <f>SUM(CALCULATIONS!B64)+(('BOX ORDER'!J70)*100)+350</f>
        <v>350</v>
      </c>
      <c r="L70" s="23">
        <f t="shared" si="5"/>
        <v>390</v>
      </c>
      <c r="M70" s="23"/>
      <c r="P70" s="64">
        <v>63</v>
      </c>
      <c r="Q70" s="64" t="str">
        <v>HOODS</v>
      </c>
      <c r="R70" s="64">
        <v>0</v>
      </c>
      <c r="S70" s="64">
        <v>0</v>
      </c>
      <c r="T70" s="64">
        <v>0</v>
      </c>
      <c r="U70" s="64">
        <v>0</v>
      </c>
      <c r="V70" s="64">
        <v>0</v>
      </c>
      <c r="W70" s="23">
        <v>350</v>
      </c>
      <c r="X70" s="23">
        <v>390</v>
      </c>
      <c r="Y70" s="24">
        <v>0</v>
      </c>
    </row>
    <row r="71" spans="1:25" ht="60" hidden="1" customHeight="1" x14ac:dyDescent="0.25">
      <c r="A71" s="10" t="str">
        <f t="shared" si="6"/>
        <v/>
      </c>
      <c r="B71" s="10" t="s">
        <v>8</v>
      </c>
      <c r="D71" s="64">
        <f t="shared" si="2"/>
        <v>64</v>
      </c>
      <c r="E71" s="65" t="s">
        <v>18</v>
      </c>
      <c r="F71" s="66"/>
      <c r="G71" s="64"/>
      <c r="H71" s="67"/>
      <c r="I71" s="67"/>
      <c r="J71" s="64"/>
      <c r="K71" s="68">
        <f>SUM(CALCULATIONS!B65)+(('BOX ORDER'!J71)*100)+350</f>
        <v>350</v>
      </c>
      <c r="L71" s="23">
        <f t="shared" si="5"/>
        <v>390</v>
      </c>
      <c r="M71" s="23"/>
      <c r="P71" s="64">
        <v>64</v>
      </c>
      <c r="Q71" s="64" t="str">
        <v>HOODS</v>
      </c>
      <c r="R71" s="64">
        <v>0</v>
      </c>
      <c r="S71" s="64">
        <v>0</v>
      </c>
      <c r="T71" s="64">
        <v>0</v>
      </c>
      <c r="U71" s="64">
        <v>0</v>
      </c>
      <c r="V71" s="64">
        <v>0</v>
      </c>
      <c r="W71" s="23">
        <v>350</v>
      </c>
      <c r="X71" s="23">
        <v>390</v>
      </c>
      <c r="Y71" s="24">
        <v>0</v>
      </c>
    </row>
    <row r="72" spans="1:25" ht="60" hidden="1" customHeight="1" x14ac:dyDescent="0.25">
      <c r="A72" s="10" t="str">
        <f t="shared" si="6"/>
        <v/>
      </c>
      <c r="B72" s="10" t="s">
        <v>8</v>
      </c>
      <c r="D72" s="64">
        <f t="shared" si="2"/>
        <v>65</v>
      </c>
      <c r="E72" s="65" t="s">
        <v>18</v>
      </c>
      <c r="F72" s="66"/>
      <c r="G72" s="64"/>
      <c r="H72" s="67"/>
      <c r="I72" s="67"/>
      <c r="J72" s="64"/>
      <c r="K72" s="68">
        <f>SUM(CALCULATIONS!B66)+(('BOX ORDER'!J72)*100)+350</f>
        <v>350</v>
      </c>
      <c r="L72" s="23">
        <f t="shared" si="5"/>
        <v>390</v>
      </c>
      <c r="M72" s="23"/>
      <c r="P72" s="64">
        <v>65</v>
      </c>
      <c r="Q72" s="64" t="str">
        <v>HOODS</v>
      </c>
      <c r="R72" s="64">
        <v>0</v>
      </c>
      <c r="S72" s="64">
        <v>0</v>
      </c>
      <c r="T72" s="64">
        <v>0</v>
      </c>
      <c r="U72" s="64">
        <v>0</v>
      </c>
      <c r="V72" s="64">
        <v>0</v>
      </c>
      <c r="W72" s="23">
        <v>350</v>
      </c>
      <c r="X72" s="23">
        <v>390</v>
      </c>
      <c r="Y72" s="24">
        <v>0</v>
      </c>
    </row>
    <row r="73" spans="1:25" ht="60" hidden="1" customHeight="1" x14ac:dyDescent="0.25">
      <c r="A73" s="10" t="str">
        <f t="shared" si="6"/>
        <v/>
      </c>
      <c r="B73" s="10" t="s">
        <v>8</v>
      </c>
      <c r="D73" s="64">
        <f t="shared" si="2"/>
        <v>66</v>
      </c>
      <c r="E73" s="65" t="s">
        <v>18</v>
      </c>
      <c r="F73" s="66"/>
      <c r="G73" s="64"/>
      <c r="H73" s="67"/>
      <c r="I73" s="67"/>
      <c r="J73" s="64"/>
      <c r="K73" s="68">
        <f>SUM(CALCULATIONS!B67)+(('BOX ORDER'!J73)*100)+350</f>
        <v>350</v>
      </c>
      <c r="L73" s="23">
        <f t="shared" si="5"/>
        <v>390</v>
      </c>
      <c r="M73" s="23"/>
      <c r="P73" s="64">
        <v>66</v>
      </c>
      <c r="Q73" s="64" t="str">
        <v>HOODS</v>
      </c>
      <c r="R73" s="64">
        <v>0</v>
      </c>
      <c r="S73" s="64">
        <v>0</v>
      </c>
      <c r="T73" s="64">
        <v>0</v>
      </c>
      <c r="U73" s="64">
        <v>0</v>
      </c>
      <c r="V73" s="64">
        <v>0</v>
      </c>
      <c r="W73" s="23">
        <v>350</v>
      </c>
      <c r="X73" s="23">
        <v>390</v>
      </c>
      <c r="Y73" s="24">
        <v>0</v>
      </c>
    </row>
    <row r="74" spans="1:25" ht="60" hidden="1" customHeight="1" x14ac:dyDescent="0.25">
      <c r="A74" s="10" t="str">
        <f t="shared" si="6"/>
        <v/>
      </c>
      <c r="B74" s="10" t="s">
        <v>8</v>
      </c>
      <c r="D74" s="64">
        <f t="shared" ref="D74:D117" si="7">D73+1</f>
        <v>67</v>
      </c>
      <c r="E74" s="65" t="s">
        <v>18</v>
      </c>
      <c r="F74" s="66"/>
      <c r="G74" s="64"/>
      <c r="H74" s="67"/>
      <c r="I74" s="67"/>
      <c r="J74" s="64"/>
      <c r="K74" s="68">
        <f>SUM(CALCULATIONS!B68)+(('BOX ORDER'!J74)*100)+350</f>
        <v>350</v>
      </c>
      <c r="L74" s="23">
        <f t="shared" si="5"/>
        <v>390</v>
      </c>
      <c r="M74" s="23"/>
      <c r="P74" s="64">
        <v>67</v>
      </c>
      <c r="Q74" s="64" t="str">
        <v>HOODS</v>
      </c>
      <c r="R74" s="64">
        <v>0</v>
      </c>
      <c r="S74" s="64">
        <v>0</v>
      </c>
      <c r="T74" s="64">
        <v>0</v>
      </c>
      <c r="U74" s="64">
        <v>0</v>
      </c>
      <c r="V74" s="64">
        <v>0</v>
      </c>
      <c r="W74" s="23">
        <v>350</v>
      </c>
      <c r="X74" s="23">
        <v>390</v>
      </c>
      <c r="Y74" s="24">
        <v>0</v>
      </c>
    </row>
    <row r="75" spans="1:25" ht="60" hidden="1" customHeight="1" x14ac:dyDescent="0.25">
      <c r="A75" s="10" t="str">
        <f t="shared" si="6"/>
        <v/>
      </c>
      <c r="B75" s="10" t="s">
        <v>8</v>
      </c>
      <c r="D75" s="64">
        <f t="shared" si="7"/>
        <v>68</v>
      </c>
      <c r="E75" s="65" t="s">
        <v>18</v>
      </c>
      <c r="F75" s="66"/>
      <c r="G75" s="64"/>
      <c r="H75" s="67"/>
      <c r="I75" s="67"/>
      <c r="J75" s="64"/>
      <c r="K75" s="68">
        <f>SUM(CALCULATIONS!B69)+(('BOX ORDER'!J75)*100)+350</f>
        <v>350</v>
      </c>
      <c r="L75" s="23">
        <f t="shared" si="5"/>
        <v>390</v>
      </c>
      <c r="M75" s="23"/>
      <c r="P75" s="64">
        <v>68</v>
      </c>
      <c r="Q75" s="64" t="str">
        <v>HOODS</v>
      </c>
      <c r="R75" s="64">
        <v>0</v>
      </c>
      <c r="S75" s="64">
        <v>0</v>
      </c>
      <c r="T75" s="64">
        <v>0</v>
      </c>
      <c r="U75" s="64">
        <v>0</v>
      </c>
      <c r="V75" s="64">
        <v>0</v>
      </c>
      <c r="W75" s="23">
        <v>350</v>
      </c>
      <c r="X75" s="23">
        <v>390</v>
      </c>
      <c r="Y75" s="24">
        <v>0</v>
      </c>
    </row>
    <row r="76" spans="1:25" ht="60" hidden="1" customHeight="1" x14ac:dyDescent="0.25">
      <c r="A76" s="10" t="str">
        <f t="shared" si="6"/>
        <v/>
      </c>
      <c r="B76" s="10" t="s">
        <v>8</v>
      </c>
      <c r="D76" s="64">
        <f t="shared" si="7"/>
        <v>69</v>
      </c>
      <c r="E76" s="65" t="s">
        <v>18</v>
      </c>
      <c r="F76" s="66"/>
      <c r="G76" s="64"/>
      <c r="H76" s="67"/>
      <c r="I76" s="67"/>
      <c r="J76" s="64"/>
      <c r="K76" s="68">
        <f>SUM(CALCULATIONS!B70)+(('BOX ORDER'!J76)*100)+350</f>
        <v>350</v>
      </c>
      <c r="L76" s="23">
        <f t="shared" si="5"/>
        <v>390</v>
      </c>
      <c r="M76" s="23"/>
      <c r="P76" s="64">
        <v>69</v>
      </c>
      <c r="Q76" s="64" t="str">
        <v>HOODS</v>
      </c>
      <c r="R76" s="64">
        <v>0</v>
      </c>
      <c r="S76" s="64">
        <v>0</v>
      </c>
      <c r="T76" s="64">
        <v>0</v>
      </c>
      <c r="U76" s="64">
        <v>0</v>
      </c>
      <c r="V76" s="64">
        <v>0</v>
      </c>
      <c r="W76" s="23">
        <v>350</v>
      </c>
      <c r="X76" s="23">
        <v>390</v>
      </c>
      <c r="Y76" s="24">
        <v>0</v>
      </c>
    </row>
    <row r="77" spans="1:25" ht="60" hidden="1" customHeight="1" x14ac:dyDescent="0.25">
      <c r="A77" s="10" t="str">
        <f t="shared" si="6"/>
        <v/>
      </c>
      <c r="B77" s="10" t="s">
        <v>8</v>
      </c>
      <c r="D77" s="64">
        <f t="shared" si="7"/>
        <v>70</v>
      </c>
      <c r="E77" s="65" t="s">
        <v>18</v>
      </c>
      <c r="F77" s="66"/>
      <c r="G77" s="64"/>
      <c r="H77" s="67"/>
      <c r="I77" s="67"/>
      <c r="J77" s="64"/>
      <c r="K77" s="68">
        <f>SUM(CALCULATIONS!B71)+(('BOX ORDER'!J77)*100)+350</f>
        <v>350</v>
      </c>
      <c r="L77" s="23">
        <f t="shared" si="5"/>
        <v>390</v>
      </c>
      <c r="M77" s="23"/>
      <c r="P77" s="64">
        <v>70</v>
      </c>
      <c r="Q77" s="64" t="str">
        <v>HOODS</v>
      </c>
      <c r="R77" s="64">
        <v>0</v>
      </c>
      <c r="S77" s="64">
        <v>0</v>
      </c>
      <c r="T77" s="64">
        <v>0</v>
      </c>
      <c r="U77" s="64">
        <v>0</v>
      </c>
      <c r="V77" s="64">
        <v>0</v>
      </c>
      <c r="W77" s="23">
        <v>350</v>
      </c>
      <c r="X77" s="23">
        <v>390</v>
      </c>
      <c r="Y77" s="24">
        <v>0</v>
      </c>
    </row>
    <row r="78" spans="1:25" ht="60" hidden="1" customHeight="1" x14ac:dyDescent="0.25">
      <c r="A78" s="10" t="str">
        <f t="shared" si="6"/>
        <v/>
      </c>
      <c r="B78" s="10" t="s">
        <v>8</v>
      </c>
      <c r="D78" s="64">
        <f t="shared" si="7"/>
        <v>71</v>
      </c>
      <c r="E78" s="65" t="s">
        <v>18</v>
      </c>
      <c r="F78" s="66"/>
      <c r="G78" s="64"/>
      <c r="H78" s="67"/>
      <c r="I78" s="67"/>
      <c r="J78" s="64"/>
      <c r="K78" s="68">
        <f>SUM(CALCULATIONS!B72)+(('BOX ORDER'!J78)*100)+350</f>
        <v>350</v>
      </c>
      <c r="L78" s="23">
        <f t="shared" si="5"/>
        <v>390</v>
      </c>
      <c r="M78" s="23"/>
      <c r="P78" s="64">
        <v>71</v>
      </c>
      <c r="Q78" s="64" t="str">
        <v>HOODS</v>
      </c>
      <c r="R78" s="64">
        <v>0</v>
      </c>
      <c r="S78" s="64">
        <v>0</v>
      </c>
      <c r="T78" s="64">
        <v>0</v>
      </c>
      <c r="U78" s="64">
        <v>0</v>
      </c>
      <c r="V78" s="64">
        <v>0</v>
      </c>
      <c r="W78" s="23">
        <v>350</v>
      </c>
      <c r="X78" s="23">
        <v>390</v>
      </c>
      <c r="Y78" s="24">
        <v>0</v>
      </c>
    </row>
    <row r="79" spans="1:25" ht="60" hidden="1" customHeight="1" x14ac:dyDescent="0.25">
      <c r="A79" s="10" t="str">
        <f t="shared" si="6"/>
        <v/>
      </c>
      <c r="B79" s="10" t="s">
        <v>8</v>
      </c>
      <c r="D79" s="64">
        <f t="shared" si="7"/>
        <v>72</v>
      </c>
      <c r="E79" s="65" t="s">
        <v>18</v>
      </c>
      <c r="F79" s="66"/>
      <c r="G79" s="64"/>
      <c r="H79" s="67"/>
      <c r="I79" s="67"/>
      <c r="J79" s="64"/>
      <c r="K79" s="68">
        <f>SUM(CALCULATIONS!B73)+(('BOX ORDER'!J79)*100)+350</f>
        <v>350</v>
      </c>
      <c r="L79" s="23">
        <f t="shared" si="5"/>
        <v>390</v>
      </c>
      <c r="M79" s="23"/>
      <c r="P79" s="64">
        <v>72</v>
      </c>
      <c r="Q79" s="64" t="str">
        <v>HOODS</v>
      </c>
      <c r="R79" s="64">
        <v>0</v>
      </c>
      <c r="S79" s="64">
        <v>0</v>
      </c>
      <c r="T79" s="64">
        <v>0</v>
      </c>
      <c r="U79" s="64">
        <v>0</v>
      </c>
      <c r="V79" s="64">
        <v>0</v>
      </c>
      <c r="W79" s="23">
        <v>350</v>
      </c>
      <c r="X79" s="23">
        <v>390</v>
      </c>
      <c r="Y79" s="24">
        <v>0</v>
      </c>
    </row>
    <row r="80" spans="1:25" ht="60" hidden="1" customHeight="1" x14ac:dyDescent="0.25">
      <c r="A80" s="10" t="str">
        <f t="shared" si="6"/>
        <v/>
      </c>
      <c r="B80" s="10" t="s">
        <v>8</v>
      </c>
      <c r="D80" s="64">
        <f t="shared" si="7"/>
        <v>73</v>
      </c>
      <c r="E80" s="65" t="s">
        <v>18</v>
      </c>
      <c r="F80" s="66"/>
      <c r="G80" s="64"/>
      <c r="H80" s="67"/>
      <c r="I80" s="67"/>
      <c r="J80" s="64"/>
      <c r="K80" s="68">
        <f>SUM(CALCULATIONS!B74)+(('BOX ORDER'!J80)*100)+350</f>
        <v>350</v>
      </c>
      <c r="L80" s="23">
        <f t="shared" si="5"/>
        <v>390</v>
      </c>
      <c r="M80" s="23"/>
      <c r="P80" s="64">
        <v>73</v>
      </c>
      <c r="Q80" s="64" t="str">
        <v>HOODS</v>
      </c>
      <c r="R80" s="64">
        <v>0</v>
      </c>
      <c r="S80" s="64">
        <v>0</v>
      </c>
      <c r="T80" s="64">
        <v>0</v>
      </c>
      <c r="U80" s="64">
        <v>0</v>
      </c>
      <c r="V80" s="64">
        <v>0</v>
      </c>
      <c r="W80" s="23">
        <v>350</v>
      </c>
      <c r="X80" s="23">
        <v>390</v>
      </c>
      <c r="Y80" s="24">
        <v>0</v>
      </c>
    </row>
    <row r="81" spans="1:25" ht="60" hidden="1" customHeight="1" x14ac:dyDescent="0.25">
      <c r="A81" s="10" t="str">
        <f t="shared" ref="A81:A117" si="8">IF(G81,_xlfn.TEXTBEFORE($D$2," -"),"")</f>
        <v/>
      </c>
      <c r="B81" s="10" t="s">
        <v>8</v>
      </c>
      <c r="D81" s="64">
        <f t="shared" si="7"/>
        <v>74</v>
      </c>
      <c r="E81" s="65" t="s">
        <v>18</v>
      </c>
      <c r="F81" s="66"/>
      <c r="G81" s="64"/>
      <c r="H81" s="67"/>
      <c r="I81" s="67"/>
      <c r="J81" s="64"/>
      <c r="K81" s="68">
        <f>SUM(CALCULATIONS!B75)+(('BOX ORDER'!J81)*100)+350</f>
        <v>350</v>
      </c>
      <c r="L81" s="23">
        <f t="shared" ref="L81:L117" si="9">SUM(K81+40)</f>
        <v>390</v>
      </c>
      <c r="M81" s="23"/>
      <c r="P81" s="64">
        <v>74</v>
      </c>
      <c r="Q81" s="64" t="str">
        <v>HOODS</v>
      </c>
      <c r="R81" s="64">
        <v>0</v>
      </c>
      <c r="S81" s="64">
        <v>0</v>
      </c>
      <c r="T81" s="64">
        <v>0</v>
      </c>
      <c r="U81" s="64">
        <v>0</v>
      </c>
      <c r="V81" s="64">
        <v>0</v>
      </c>
      <c r="W81" s="23">
        <v>350</v>
      </c>
      <c r="X81" s="23">
        <v>390</v>
      </c>
      <c r="Y81" s="24">
        <v>0</v>
      </c>
    </row>
    <row r="82" spans="1:25" ht="60" hidden="1" customHeight="1" x14ac:dyDescent="0.25">
      <c r="A82" s="10" t="str">
        <f t="shared" si="8"/>
        <v/>
      </c>
      <c r="B82" s="10" t="s">
        <v>8</v>
      </c>
      <c r="D82" s="64">
        <f t="shared" si="7"/>
        <v>75</v>
      </c>
      <c r="E82" s="65" t="s">
        <v>18</v>
      </c>
      <c r="F82" s="66"/>
      <c r="G82" s="64"/>
      <c r="H82" s="67"/>
      <c r="I82" s="67"/>
      <c r="J82" s="64"/>
      <c r="K82" s="68">
        <f>SUM(CALCULATIONS!B76)+(('BOX ORDER'!J82)*100)+350</f>
        <v>350</v>
      </c>
      <c r="L82" s="23">
        <f t="shared" si="9"/>
        <v>390</v>
      </c>
      <c r="M82" s="23"/>
      <c r="P82" s="64">
        <v>75</v>
      </c>
      <c r="Q82" s="64" t="str">
        <v>HOODS</v>
      </c>
      <c r="R82" s="64">
        <v>0</v>
      </c>
      <c r="S82" s="64">
        <v>0</v>
      </c>
      <c r="T82" s="64">
        <v>0</v>
      </c>
      <c r="U82" s="64">
        <v>0</v>
      </c>
      <c r="V82" s="64">
        <v>0</v>
      </c>
      <c r="W82" s="23">
        <v>350</v>
      </c>
      <c r="X82" s="23">
        <v>390</v>
      </c>
      <c r="Y82" s="24">
        <v>0</v>
      </c>
    </row>
    <row r="83" spans="1:25" ht="60" hidden="1" customHeight="1" x14ac:dyDescent="0.25">
      <c r="A83" s="10" t="str">
        <f t="shared" si="8"/>
        <v/>
      </c>
      <c r="B83" s="10" t="s">
        <v>8</v>
      </c>
      <c r="D83" s="64">
        <f t="shared" si="7"/>
        <v>76</v>
      </c>
      <c r="E83" s="65" t="s">
        <v>18</v>
      </c>
      <c r="F83" s="66"/>
      <c r="G83" s="64"/>
      <c r="H83" s="67"/>
      <c r="I83" s="67"/>
      <c r="J83" s="64"/>
      <c r="K83" s="68">
        <f>SUM(CALCULATIONS!B77)+(('BOX ORDER'!J83)*100)+350</f>
        <v>350</v>
      </c>
      <c r="L83" s="23">
        <f t="shared" si="9"/>
        <v>390</v>
      </c>
      <c r="M83" s="23"/>
      <c r="P83" s="64">
        <v>76</v>
      </c>
      <c r="Q83" s="64" t="str">
        <v>HOODS</v>
      </c>
      <c r="R83" s="64">
        <v>0</v>
      </c>
      <c r="S83" s="64">
        <v>0</v>
      </c>
      <c r="T83" s="64">
        <v>0</v>
      </c>
      <c r="U83" s="64">
        <v>0</v>
      </c>
      <c r="V83" s="64">
        <v>0</v>
      </c>
      <c r="W83" s="23">
        <v>350</v>
      </c>
      <c r="X83" s="23">
        <v>390</v>
      </c>
      <c r="Y83" s="24">
        <v>0</v>
      </c>
    </row>
    <row r="84" spans="1:25" ht="60" hidden="1" customHeight="1" x14ac:dyDescent="0.25">
      <c r="A84" s="10" t="str">
        <f t="shared" si="8"/>
        <v/>
      </c>
      <c r="B84" s="10" t="s">
        <v>8</v>
      </c>
      <c r="D84" s="64">
        <f t="shared" si="7"/>
        <v>77</v>
      </c>
      <c r="E84" s="65" t="s">
        <v>18</v>
      </c>
      <c r="F84" s="66"/>
      <c r="G84" s="64"/>
      <c r="H84" s="67"/>
      <c r="I84" s="67"/>
      <c r="J84" s="64"/>
      <c r="K84" s="68">
        <f>SUM(CALCULATIONS!B78)+(('BOX ORDER'!J84)*100)+350</f>
        <v>350</v>
      </c>
      <c r="L84" s="23">
        <f t="shared" si="9"/>
        <v>390</v>
      </c>
      <c r="M84" s="23"/>
      <c r="P84" s="64">
        <v>77</v>
      </c>
      <c r="Q84" s="64" t="str">
        <v>HOODS</v>
      </c>
      <c r="R84" s="64">
        <v>0</v>
      </c>
      <c r="S84" s="64">
        <v>0</v>
      </c>
      <c r="T84" s="64">
        <v>0</v>
      </c>
      <c r="U84" s="64">
        <v>0</v>
      </c>
      <c r="V84" s="64">
        <v>0</v>
      </c>
      <c r="W84" s="23">
        <v>350</v>
      </c>
      <c r="X84" s="23">
        <v>390</v>
      </c>
      <c r="Y84" s="24">
        <v>0</v>
      </c>
    </row>
    <row r="85" spans="1:25" ht="60" hidden="1" customHeight="1" x14ac:dyDescent="0.25">
      <c r="A85" s="10" t="str">
        <f t="shared" si="8"/>
        <v/>
      </c>
      <c r="B85" s="10" t="s">
        <v>8</v>
      </c>
      <c r="D85" s="64">
        <f t="shared" si="7"/>
        <v>78</v>
      </c>
      <c r="E85" s="65" t="s">
        <v>18</v>
      </c>
      <c r="F85" s="66"/>
      <c r="G85" s="64"/>
      <c r="H85" s="67"/>
      <c r="I85" s="67"/>
      <c r="J85" s="64"/>
      <c r="K85" s="68">
        <f>SUM(CALCULATIONS!B79)+(('BOX ORDER'!J85)*100)+350</f>
        <v>350</v>
      </c>
      <c r="L85" s="23">
        <f t="shared" si="9"/>
        <v>390</v>
      </c>
      <c r="M85" s="23"/>
      <c r="P85" s="64">
        <v>78</v>
      </c>
      <c r="Q85" s="64" t="str">
        <v>HOODS</v>
      </c>
      <c r="R85" s="64">
        <v>0</v>
      </c>
      <c r="S85" s="64">
        <v>0</v>
      </c>
      <c r="T85" s="64">
        <v>0</v>
      </c>
      <c r="U85" s="64">
        <v>0</v>
      </c>
      <c r="V85" s="64">
        <v>0</v>
      </c>
      <c r="W85" s="23">
        <v>350</v>
      </c>
      <c r="X85" s="23">
        <v>390</v>
      </c>
      <c r="Y85" s="24">
        <v>0</v>
      </c>
    </row>
    <row r="86" spans="1:25" ht="60" hidden="1" customHeight="1" x14ac:dyDescent="0.25">
      <c r="A86" s="10" t="str">
        <f t="shared" si="8"/>
        <v/>
      </c>
      <c r="B86" s="10" t="s">
        <v>8</v>
      </c>
      <c r="D86" s="64">
        <f t="shared" si="7"/>
        <v>79</v>
      </c>
      <c r="E86" s="65" t="s">
        <v>18</v>
      </c>
      <c r="F86" s="66"/>
      <c r="G86" s="64"/>
      <c r="H86" s="67"/>
      <c r="I86" s="67"/>
      <c r="J86" s="64"/>
      <c r="K86" s="68">
        <f>SUM(CALCULATIONS!B80)+(('BOX ORDER'!J86)*100)+350</f>
        <v>350</v>
      </c>
      <c r="L86" s="23">
        <f t="shared" si="9"/>
        <v>390</v>
      </c>
      <c r="M86" s="23"/>
      <c r="P86" s="64">
        <v>79</v>
      </c>
      <c r="Q86" s="64" t="str">
        <v>HOODS</v>
      </c>
      <c r="R86" s="64">
        <v>0</v>
      </c>
      <c r="S86" s="64">
        <v>0</v>
      </c>
      <c r="T86" s="64">
        <v>0</v>
      </c>
      <c r="U86" s="64">
        <v>0</v>
      </c>
      <c r="V86" s="64">
        <v>0</v>
      </c>
      <c r="W86" s="23">
        <v>350</v>
      </c>
      <c r="X86" s="23">
        <v>390</v>
      </c>
      <c r="Y86" s="24">
        <v>0</v>
      </c>
    </row>
    <row r="87" spans="1:25" ht="60" hidden="1" customHeight="1" x14ac:dyDescent="0.25">
      <c r="A87" s="10" t="str">
        <f t="shared" si="8"/>
        <v/>
      </c>
      <c r="B87" s="10" t="s">
        <v>8</v>
      </c>
      <c r="D87" s="64">
        <f t="shared" si="7"/>
        <v>80</v>
      </c>
      <c r="E87" s="65" t="s">
        <v>18</v>
      </c>
      <c r="F87" s="66"/>
      <c r="G87" s="64"/>
      <c r="H87" s="67"/>
      <c r="I87" s="67"/>
      <c r="J87" s="64"/>
      <c r="K87" s="68">
        <f>SUM(CALCULATIONS!B81)+(('BOX ORDER'!J87)*100)+350</f>
        <v>350</v>
      </c>
      <c r="L87" s="23">
        <f t="shared" si="9"/>
        <v>390</v>
      </c>
      <c r="M87" s="23"/>
      <c r="P87" s="64">
        <v>80</v>
      </c>
      <c r="Q87" s="64" t="str">
        <v>HOODS</v>
      </c>
      <c r="R87" s="64">
        <v>0</v>
      </c>
      <c r="S87" s="64">
        <v>0</v>
      </c>
      <c r="T87" s="64">
        <v>0</v>
      </c>
      <c r="U87" s="64">
        <v>0</v>
      </c>
      <c r="V87" s="64">
        <v>0</v>
      </c>
      <c r="W87" s="23">
        <v>350</v>
      </c>
      <c r="X87" s="23">
        <v>390</v>
      </c>
      <c r="Y87" s="24">
        <v>0</v>
      </c>
    </row>
    <row r="88" spans="1:25" ht="60" hidden="1" customHeight="1" x14ac:dyDescent="0.25">
      <c r="A88" s="10" t="str">
        <f t="shared" si="8"/>
        <v/>
      </c>
      <c r="B88" s="10" t="s">
        <v>8</v>
      </c>
      <c r="D88" s="64">
        <f t="shared" si="7"/>
        <v>81</v>
      </c>
      <c r="E88" s="65" t="s">
        <v>18</v>
      </c>
      <c r="F88" s="66"/>
      <c r="G88" s="64"/>
      <c r="H88" s="67"/>
      <c r="I88" s="67"/>
      <c r="J88" s="64"/>
      <c r="K88" s="68">
        <f>SUM(CALCULATIONS!B82)+(('BOX ORDER'!J88)*100)+350</f>
        <v>350</v>
      </c>
      <c r="L88" s="23">
        <f t="shared" si="9"/>
        <v>390</v>
      </c>
      <c r="M88" s="23"/>
      <c r="P88" s="64">
        <v>81</v>
      </c>
      <c r="Q88" s="64" t="str">
        <v>HOODS</v>
      </c>
      <c r="R88" s="64">
        <v>0</v>
      </c>
      <c r="S88" s="64">
        <v>0</v>
      </c>
      <c r="T88" s="64">
        <v>0</v>
      </c>
      <c r="U88" s="64">
        <v>0</v>
      </c>
      <c r="V88" s="64">
        <v>0</v>
      </c>
      <c r="W88" s="23">
        <v>350</v>
      </c>
      <c r="X88" s="23">
        <v>390</v>
      </c>
      <c r="Y88" s="24">
        <v>0</v>
      </c>
    </row>
    <row r="89" spans="1:25" ht="60" hidden="1" customHeight="1" x14ac:dyDescent="0.25">
      <c r="A89" s="10" t="str">
        <f t="shared" si="8"/>
        <v/>
      </c>
      <c r="B89" s="10" t="s">
        <v>8</v>
      </c>
      <c r="D89" s="64">
        <f t="shared" si="7"/>
        <v>82</v>
      </c>
      <c r="E89" s="65" t="s">
        <v>18</v>
      </c>
      <c r="F89" s="66"/>
      <c r="G89" s="64"/>
      <c r="H89" s="67"/>
      <c r="I89" s="67"/>
      <c r="J89" s="64"/>
      <c r="K89" s="68">
        <f>SUM(CALCULATIONS!B83)+(('BOX ORDER'!J89)*100)+350</f>
        <v>350</v>
      </c>
      <c r="L89" s="23">
        <f t="shared" si="9"/>
        <v>390</v>
      </c>
      <c r="M89" s="23"/>
      <c r="P89" s="64">
        <v>82</v>
      </c>
      <c r="Q89" s="64" t="str">
        <v>HOODS</v>
      </c>
      <c r="R89" s="64">
        <v>0</v>
      </c>
      <c r="S89" s="64">
        <v>0</v>
      </c>
      <c r="T89" s="64">
        <v>0</v>
      </c>
      <c r="U89" s="64">
        <v>0</v>
      </c>
      <c r="V89" s="64">
        <v>0</v>
      </c>
      <c r="W89" s="23">
        <v>350</v>
      </c>
      <c r="X89" s="23">
        <v>390</v>
      </c>
      <c r="Y89" s="24">
        <v>0</v>
      </c>
    </row>
    <row r="90" spans="1:25" ht="60" hidden="1" customHeight="1" x14ac:dyDescent="0.25">
      <c r="A90" s="10" t="str">
        <f t="shared" si="8"/>
        <v/>
      </c>
      <c r="B90" s="10" t="s">
        <v>8</v>
      </c>
      <c r="D90" s="64">
        <f t="shared" si="7"/>
        <v>83</v>
      </c>
      <c r="E90" s="65" t="s">
        <v>18</v>
      </c>
      <c r="F90" s="66"/>
      <c r="G90" s="64"/>
      <c r="H90" s="67"/>
      <c r="I90" s="67"/>
      <c r="J90" s="64"/>
      <c r="K90" s="68">
        <f>SUM(CALCULATIONS!B84)+(('BOX ORDER'!J90)*100)+350</f>
        <v>350</v>
      </c>
      <c r="L90" s="23">
        <f t="shared" si="9"/>
        <v>390</v>
      </c>
      <c r="M90" s="23"/>
      <c r="P90" s="64">
        <v>83</v>
      </c>
      <c r="Q90" s="64" t="str">
        <v>HOODS</v>
      </c>
      <c r="R90" s="64">
        <v>0</v>
      </c>
      <c r="S90" s="64">
        <v>0</v>
      </c>
      <c r="T90" s="64">
        <v>0</v>
      </c>
      <c r="U90" s="64">
        <v>0</v>
      </c>
      <c r="V90" s="64">
        <v>0</v>
      </c>
      <c r="W90" s="23">
        <v>350</v>
      </c>
      <c r="X90" s="23">
        <v>390</v>
      </c>
      <c r="Y90" s="24">
        <v>0</v>
      </c>
    </row>
    <row r="91" spans="1:25" ht="60" hidden="1" customHeight="1" x14ac:dyDescent="0.25">
      <c r="A91" s="10" t="str">
        <f t="shared" si="8"/>
        <v/>
      </c>
      <c r="B91" s="10" t="s">
        <v>8</v>
      </c>
      <c r="D91" s="64">
        <f t="shared" si="7"/>
        <v>84</v>
      </c>
      <c r="E91" s="65" t="s">
        <v>18</v>
      </c>
      <c r="F91" s="66"/>
      <c r="G91" s="64"/>
      <c r="H91" s="67"/>
      <c r="I91" s="67"/>
      <c r="J91" s="64"/>
      <c r="K91" s="68">
        <f>SUM(CALCULATIONS!B85)+(('BOX ORDER'!J91)*100)+350</f>
        <v>350</v>
      </c>
      <c r="L91" s="23">
        <f t="shared" si="9"/>
        <v>390</v>
      </c>
      <c r="M91" s="23"/>
      <c r="P91" s="64">
        <v>84</v>
      </c>
      <c r="Q91" s="64" t="str">
        <v>HOODS</v>
      </c>
      <c r="R91" s="64">
        <v>0</v>
      </c>
      <c r="S91" s="64">
        <v>0</v>
      </c>
      <c r="T91" s="64">
        <v>0</v>
      </c>
      <c r="U91" s="64">
        <v>0</v>
      </c>
      <c r="V91" s="64">
        <v>0</v>
      </c>
      <c r="W91" s="23">
        <v>350</v>
      </c>
      <c r="X91" s="23">
        <v>390</v>
      </c>
      <c r="Y91" s="24">
        <v>0</v>
      </c>
    </row>
    <row r="92" spans="1:25" ht="60" hidden="1" customHeight="1" x14ac:dyDescent="0.25">
      <c r="A92" s="10" t="str">
        <f t="shared" si="8"/>
        <v/>
      </c>
      <c r="B92" s="10" t="s">
        <v>8</v>
      </c>
      <c r="D92" s="64">
        <f t="shared" si="7"/>
        <v>85</v>
      </c>
      <c r="E92" s="65" t="s">
        <v>18</v>
      </c>
      <c r="F92" s="66"/>
      <c r="G92" s="64"/>
      <c r="H92" s="67"/>
      <c r="I92" s="67"/>
      <c r="J92" s="64"/>
      <c r="K92" s="68">
        <f>SUM(CALCULATIONS!B86)+(('BOX ORDER'!J92)*100)+350</f>
        <v>350</v>
      </c>
      <c r="L92" s="23">
        <f t="shared" si="9"/>
        <v>390</v>
      </c>
      <c r="M92" s="23"/>
      <c r="P92" s="64">
        <v>85</v>
      </c>
      <c r="Q92" s="64" t="str">
        <v>HOODS</v>
      </c>
      <c r="R92" s="64">
        <v>0</v>
      </c>
      <c r="S92" s="64">
        <v>0</v>
      </c>
      <c r="T92" s="64">
        <v>0</v>
      </c>
      <c r="U92" s="64">
        <v>0</v>
      </c>
      <c r="V92" s="64">
        <v>0</v>
      </c>
      <c r="W92" s="23">
        <v>350</v>
      </c>
      <c r="X92" s="23">
        <v>390</v>
      </c>
      <c r="Y92" s="24">
        <v>0</v>
      </c>
    </row>
    <row r="93" spans="1:25" ht="60" hidden="1" customHeight="1" x14ac:dyDescent="0.25">
      <c r="A93" s="10" t="str">
        <f t="shared" si="8"/>
        <v/>
      </c>
      <c r="B93" s="10" t="s">
        <v>8</v>
      </c>
      <c r="D93" s="64">
        <f t="shared" si="7"/>
        <v>86</v>
      </c>
      <c r="E93" s="65" t="s">
        <v>18</v>
      </c>
      <c r="F93" s="66"/>
      <c r="G93" s="64"/>
      <c r="H93" s="67"/>
      <c r="I93" s="67"/>
      <c r="J93" s="64"/>
      <c r="K93" s="68">
        <f>SUM(CALCULATIONS!B87)+(('BOX ORDER'!J93)*100)+350</f>
        <v>350</v>
      </c>
      <c r="L93" s="23">
        <f t="shared" si="9"/>
        <v>390</v>
      </c>
      <c r="M93" s="23"/>
      <c r="P93" s="64">
        <v>86</v>
      </c>
      <c r="Q93" s="64" t="str">
        <v>HOODS</v>
      </c>
      <c r="R93" s="64">
        <v>0</v>
      </c>
      <c r="S93" s="64">
        <v>0</v>
      </c>
      <c r="T93" s="64">
        <v>0</v>
      </c>
      <c r="U93" s="64">
        <v>0</v>
      </c>
      <c r="V93" s="64">
        <v>0</v>
      </c>
      <c r="W93" s="23">
        <v>350</v>
      </c>
      <c r="X93" s="23">
        <v>390</v>
      </c>
      <c r="Y93" s="24">
        <v>0</v>
      </c>
    </row>
    <row r="94" spans="1:25" ht="60" hidden="1" customHeight="1" x14ac:dyDescent="0.25">
      <c r="A94" s="10" t="str">
        <f t="shared" si="8"/>
        <v/>
      </c>
      <c r="B94" s="10" t="s">
        <v>8</v>
      </c>
      <c r="D94" s="64">
        <f t="shared" si="7"/>
        <v>87</v>
      </c>
      <c r="E94" s="65" t="s">
        <v>18</v>
      </c>
      <c r="F94" s="66"/>
      <c r="G94" s="64"/>
      <c r="H94" s="67"/>
      <c r="I94" s="67"/>
      <c r="J94" s="64"/>
      <c r="K94" s="68">
        <f>SUM(CALCULATIONS!B88)+(('BOX ORDER'!J94)*100)+350</f>
        <v>350</v>
      </c>
      <c r="L94" s="23">
        <f t="shared" si="9"/>
        <v>390</v>
      </c>
      <c r="M94" s="23"/>
      <c r="P94" s="64">
        <v>87</v>
      </c>
      <c r="Q94" s="64" t="str">
        <v>HOODS</v>
      </c>
      <c r="R94" s="64">
        <v>0</v>
      </c>
      <c r="S94" s="64">
        <v>0</v>
      </c>
      <c r="T94" s="64">
        <v>0</v>
      </c>
      <c r="U94" s="64">
        <v>0</v>
      </c>
      <c r="V94" s="64">
        <v>0</v>
      </c>
      <c r="W94" s="23">
        <v>350</v>
      </c>
      <c r="X94" s="23">
        <v>390</v>
      </c>
      <c r="Y94" s="24">
        <v>0</v>
      </c>
    </row>
    <row r="95" spans="1:25" ht="60" hidden="1" customHeight="1" x14ac:dyDescent="0.25">
      <c r="A95" s="10" t="str">
        <f t="shared" si="8"/>
        <v/>
      </c>
      <c r="B95" s="10" t="s">
        <v>8</v>
      </c>
      <c r="D95" s="64">
        <f t="shared" si="7"/>
        <v>88</v>
      </c>
      <c r="E95" s="65" t="s">
        <v>18</v>
      </c>
      <c r="F95" s="66"/>
      <c r="G95" s="64"/>
      <c r="H95" s="67"/>
      <c r="I95" s="67"/>
      <c r="J95" s="64"/>
      <c r="K95" s="68">
        <f>SUM(CALCULATIONS!B89)+(('BOX ORDER'!J95)*100)+350</f>
        <v>350</v>
      </c>
      <c r="L95" s="23">
        <f t="shared" si="9"/>
        <v>390</v>
      </c>
      <c r="M95" s="23"/>
      <c r="P95" s="64">
        <v>88</v>
      </c>
      <c r="Q95" s="64" t="str">
        <v>HOODS</v>
      </c>
      <c r="R95" s="64">
        <v>0</v>
      </c>
      <c r="S95" s="64">
        <v>0</v>
      </c>
      <c r="T95" s="64">
        <v>0</v>
      </c>
      <c r="U95" s="64">
        <v>0</v>
      </c>
      <c r="V95" s="64">
        <v>0</v>
      </c>
      <c r="W95" s="23">
        <v>350</v>
      </c>
      <c r="X95" s="23">
        <v>390</v>
      </c>
      <c r="Y95" s="24">
        <v>0</v>
      </c>
    </row>
    <row r="96" spans="1:25" ht="60" hidden="1" customHeight="1" x14ac:dyDescent="0.25">
      <c r="A96" s="10" t="str">
        <f t="shared" si="8"/>
        <v/>
      </c>
      <c r="B96" s="10" t="s">
        <v>8</v>
      </c>
      <c r="D96" s="64">
        <f t="shared" si="7"/>
        <v>89</v>
      </c>
      <c r="E96" s="65" t="s">
        <v>18</v>
      </c>
      <c r="F96" s="66"/>
      <c r="G96" s="64"/>
      <c r="H96" s="67"/>
      <c r="I96" s="67"/>
      <c r="J96" s="64"/>
      <c r="K96" s="68">
        <f>SUM(CALCULATIONS!B90)+(('BOX ORDER'!J96)*100)+350</f>
        <v>350</v>
      </c>
      <c r="L96" s="23">
        <f t="shared" si="9"/>
        <v>390</v>
      </c>
      <c r="M96" s="23"/>
      <c r="P96" s="64">
        <v>89</v>
      </c>
      <c r="Q96" s="64" t="str">
        <v>HOODS</v>
      </c>
      <c r="R96" s="64">
        <v>0</v>
      </c>
      <c r="S96" s="64">
        <v>0</v>
      </c>
      <c r="T96" s="64">
        <v>0</v>
      </c>
      <c r="U96" s="64">
        <v>0</v>
      </c>
      <c r="V96" s="64">
        <v>0</v>
      </c>
      <c r="W96" s="23">
        <v>350</v>
      </c>
      <c r="X96" s="23">
        <v>390</v>
      </c>
      <c r="Y96" s="24">
        <v>0</v>
      </c>
    </row>
    <row r="97" spans="1:25" ht="60" hidden="1" customHeight="1" x14ac:dyDescent="0.25">
      <c r="A97" s="10" t="str">
        <f t="shared" si="8"/>
        <v/>
      </c>
      <c r="B97" s="10" t="s">
        <v>8</v>
      </c>
      <c r="D97" s="64">
        <f t="shared" si="7"/>
        <v>90</v>
      </c>
      <c r="E97" s="65" t="s">
        <v>18</v>
      </c>
      <c r="F97" s="66"/>
      <c r="G97" s="64"/>
      <c r="H97" s="67"/>
      <c r="I97" s="67"/>
      <c r="J97" s="64"/>
      <c r="K97" s="68">
        <f>SUM(CALCULATIONS!B91)+(('BOX ORDER'!J97)*100)+350</f>
        <v>350</v>
      </c>
      <c r="L97" s="23">
        <f t="shared" si="9"/>
        <v>390</v>
      </c>
      <c r="M97" s="23"/>
      <c r="P97" s="64">
        <v>90</v>
      </c>
      <c r="Q97" s="64" t="str">
        <v>HOODS</v>
      </c>
      <c r="R97" s="64">
        <v>0</v>
      </c>
      <c r="S97" s="64">
        <v>0</v>
      </c>
      <c r="T97" s="64">
        <v>0</v>
      </c>
      <c r="U97" s="64">
        <v>0</v>
      </c>
      <c r="V97" s="64">
        <v>0</v>
      </c>
      <c r="W97" s="23">
        <v>350</v>
      </c>
      <c r="X97" s="23">
        <v>390</v>
      </c>
      <c r="Y97" s="24">
        <v>0</v>
      </c>
    </row>
    <row r="98" spans="1:25" ht="60" hidden="1" customHeight="1" x14ac:dyDescent="0.25">
      <c r="A98" s="10" t="str">
        <f t="shared" si="8"/>
        <v/>
      </c>
      <c r="B98" s="10" t="s">
        <v>8</v>
      </c>
      <c r="D98" s="64">
        <f t="shared" si="7"/>
        <v>91</v>
      </c>
      <c r="E98" s="65" t="s">
        <v>18</v>
      </c>
      <c r="F98" s="66"/>
      <c r="G98" s="64"/>
      <c r="H98" s="67"/>
      <c r="I98" s="67"/>
      <c r="J98" s="64"/>
      <c r="K98" s="68">
        <f>SUM(CALCULATIONS!B92)+(('BOX ORDER'!J98)*100)+350</f>
        <v>350</v>
      </c>
      <c r="L98" s="23">
        <f t="shared" si="9"/>
        <v>390</v>
      </c>
      <c r="M98" s="23"/>
      <c r="P98" s="64">
        <v>91</v>
      </c>
      <c r="Q98" s="64" t="str">
        <v>HOODS</v>
      </c>
      <c r="R98" s="64">
        <v>0</v>
      </c>
      <c r="S98" s="64">
        <v>0</v>
      </c>
      <c r="T98" s="64">
        <v>0</v>
      </c>
      <c r="U98" s="64">
        <v>0</v>
      </c>
      <c r="V98" s="64">
        <v>0</v>
      </c>
      <c r="W98" s="23">
        <v>350</v>
      </c>
      <c r="X98" s="23">
        <v>390</v>
      </c>
      <c r="Y98" s="24">
        <v>0</v>
      </c>
    </row>
    <row r="99" spans="1:25" ht="60" hidden="1" customHeight="1" x14ac:dyDescent="0.25">
      <c r="A99" s="10" t="str">
        <f t="shared" si="8"/>
        <v/>
      </c>
      <c r="B99" s="10" t="s">
        <v>8</v>
      </c>
      <c r="D99" s="64">
        <f t="shared" si="7"/>
        <v>92</v>
      </c>
      <c r="E99" s="65" t="s">
        <v>18</v>
      </c>
      <c r="F99" s="66"/>
      <c r="G99" s="64"/>
      <c r="H99" s="67"/>
      <c r="I99" s="67"/>
      <c r="J99" s="64"/>
      <c r="K99" s="68">
        <f>SUM(CALCULATIONS!B93)+(('BOX ORDER'!J99)*100)+350</f>
        <v>350</v>
      </c>
      <c r="L99" s="23">
        <f t="shared" si="9"/>
        <v>390</v>
      </c>
      <c r="M99" s="23"/>
      <c r="P99" s="64">
        <v>92</v>
      </c>
      <c r="Q99" s="64" t="str">
        <v>HOODS</v>
      </c>
      <c r="R99" s="64">
        <v>0</v>
      </c>
      <c r="S99" s="64">
        <v>0</v>
      </c>
      <c r="T99" s="64">
        <v>0</v>
      </c>
      <c r="U99" s="64">
        <v>0</v>
      </c>
      <c r="V99" s="64">
        <v>0</v>
      </c>
      <c r="W99" s="23">
        <v>350</v>
      </c>
      <c r="X99" s="23">
        <v>390</v>
      </c>
      <c r="Y99" s="24">
        <v>0</v>
      </c>
    </row>
    <row r="100" spans="1:25" ht="60" hidden="1" customHeight="1" x14ac:dyDescent="0.25">
      <c r="A100" s="10" t="str">
        <f t="shared" si="8"/>
        <v/>
      </c>
      <c r="B100" s="10" t="s">
        <v>8</v>
      </c>
      <c r="D100" s="64">
        <f t="shared" si="7"/>
        <v>93</v>
      </c>
      <c r="E100" s="65" t="s">
        <v>18</v>
      </c>
      <c r="F100" s="66"/>
      <c r="G100" s="64"/>
      <c r="H100" s="67"/>
      <c r="I100" s="67"/>
      <c r="J100" s="64"/>
      <c r="K100" s="68">
        <f>SUM(CALCULATIONS!B94)+(('BOX ORDER'!J100)*100)+350</f>
        <v>350</v>
      </c>
      <c r="L100" s="23">
        <f t="shared" si="9"/>
        <v>390</v>
      </c>
      <c r="M100" s="23"/>
      <c r="P100" s="64">
        <v>93</v>
      </c>
      <c r="Q100" s="64" t="str">
        <v>HOODS</v>
      </c>
      <c r="R100" s="64">
        <v>0</v>
      </c>
      <c r="S100" s="64">
        <v>0</v>
      </c>
      <c r="T100" s="64">
        <v>0</v>
      </c>
      <c r="U100" s="64">
        <v>0</v>
      </c>
      <c r="V100" s="64">
        <v>0</v>
      </c>
      <c r="W100" s="23">
        <v>350</v>
      </c>
      <c r="X100" s="23">
        <v>390</v>
      </c>
      <c r="Y100" s="24">
        <v>0</v>
      </c>
    </row>
    <row r="101" spans="1:25" ht="60" hidden="1" customHeight="1" x14ac:dyDescent="0.25">
      <c r="A101" s="10" t="str">
        <f t="shared" si="8"/>
        <v/>
      </c>
      <c r="B101" s="10" t="s">
        <v>8</v>
      </c>
      <c r="D101" s="64">
        <f t="shared" si="7"/>
        <v>94</v>
      </c>
      <c r="E101" s="65" t="s">
        <v>18</v>
      </c>
      <c r="F101" s="66"/>
      <c r="G101" s="64"/>
      <c r="H101" s="67"/>
      <c r="I101" s="67"/>
      <c r="J101" s="64"/>
      <c r="K101" s="68">
        <f>SUM(CALCULATIONS!B95)+(('BOX ORDER'!J101)*100)+350</f>
        <v>350</v>
      </c>
      <c r="L101" s="23">
        <f t="shared" si="9"/>
        <v>390</v>
      </c>
      <c r="M101" s="23"/>
      <c r="P101" s="64">
        <v>94</v>
      </c>
      <c r="Q101" s="64" t="str">
        <v>HOODS</v>
      </c>
      <c r="R101" s="64">
        <v>0</v>
      </c>
      <c r="S101" s="64">
        <v>0</v>
      </c>
      <c r="T101" s="64">
        <v>0</v>
      </c>
      <c r="U101" s="64">
        <v>0</v>
      </c>
      <c r="V101" s="64">
        <v>0</v>
      </c>
      <c r="W101" s="23">
        <v>350</v>
      </c>
      <c r="X101" s="23">
        <v>390</v>
      </c>
      <c r="Y101" s="24">
        <v>0</v>
      </c>
    </row>
    <row r="102" spans="1:25" ht="60" hidden="1" customHeight="1" x14ac:dyDescent="0.25">
      <c r="A102" s="10" t="str">
        <f t="shared" si="8"/>
        <v/>
      </c>
      <c r="B102" s="10" t="s">
        <v>8</v>
      </c>
      <c r="D102" s="64">
        <f t="shared" si="7"/>
        <v>95</v>
      </c>
      <c r="E102" s="65" t="s">
        <v>18</v>
      </c>
      <c r="F102" s="66"/>
      <c r="G102" s="64"/>
      <c r="H102" s="67"/>
      <c r="I102" s="67"/>
      <c r="J102" s="64"/>
      <c r="K102" s="68">
        <f>SUM(CALCULATIONS!B96)+(('BOX ORDER'!J102)*100)+350</f>
        <v>350</v>
      </c>
      <c r="L102" s="23">
        <f t="shared" si="9"/>
        <v>390</v>
      </c>
      <c r="M102" s="23"/>
      <c r="P102" s="64">
        <v>95</v>
      </c>
      <c r="Q102" s="64" t="str">
        <v>HOODS</v>
      </c>
      <c r="R102" s="64">
        <v>0</v>
      </c>
      <c r="S102" s="64">
        <v>0</v>
      </c>
      <c r="T102" s="64">
        <v>0</v>
      </c>
      <c r="U102" s="64">
        <v>0</v>
      </c>
      <c r="V102" s="64">
        <v>0</v>
      </c>
      <c r="W102" s="23">
        <v>350</v>
      </c>
      <c r="X102" s="23">
        <v>390</v>
      </c>
      <c r="Y102" s="24">
        <v>0</v>
      </c>
    </row>
    <row r="103" spans="1:25" ht="60" hidden="1" customHeight="1" x14ac:dyDescent="0.25">
      <c r="A103" s="10" t="str">
        <f t="shared" si="8"/>
        <v/>
      </c>
      <c r="B103" s="10" t="s">
        <v>8</v>
      </c>
      <c r="D103" s="64">
        <f t="shared" si="7"/>
        <v>96</v>
      </c>
      <c r="E103" s="65" t="s">
        <v>18</v>
      </c>
      <c r="F103" s="66"/>
      <c r="G103" s="64"/>
      <c r="H103" s="67"/>
      <c r="I103" s="67"/>
      <c r="J103" s="64"/>
      <c r="K103" s="68">
        <f>SUM(CALCULATIONS!B97)+(('BOX ORDER'!J103)*100)+350</f>
        <v>350</v>
      </c>
      <c r="L103" s="23">
        <f t="shared" si="9"/>
        <v>390</v>
      </c>
      <c r="M103" s="23"/>
      <c r="P103" s="64">
        <v>96</v>
      </c>
      <c r="Q103" s="64" t="str">
        <v>HOODS</v>
      </c>
      <c r="R103" s="64">
        <v>0</v>
      </c>
      <c r="S103" s="64">
        <v>0</v>
      </c>
      <c r="T103" s="64">
        <v>0</v>
      </c>
      <c r="U103" s="64">
        <v>0</v>
      </c>
      <c r="V103" s="64">
        <v>0</v>
      </c>
      <c r="W103" s="23">
        <v>350</v>
      </c>
      <c r="X103" s="23">
        <v>390</v>
      </c>
      <c r="Y103" s="24">
        <v>0</v>
      </c>
    </row>
    <row r="104" spans="1:25" ht="60" hidden="1" customHeight="1" x14ac:dyDescent="0.25">
      <c r="A104" s="10" t="str">
        <f t="shared" si="8"/>
        <v/>
      </c>
      <c r="B104" s="10" t="s">
        <v>8</v>
      </c>
      <c r="D104" s="64">
        <f t="shared" si="7"/>
        <v>97</v>
      </c>
      <c r="E104" s="65" t="s">
        <v>18</v>
      </c>
      <c r="F104" s="66"/>
      <c r="G104" s="64"/>
      <c r="H104" s="67"/>
      <c r="I104" s="67"/>
      <c r="J104" s="64"/>
      <c r="K104" s="68">
        <f>SUM(CALCULATIONS!B98)+(('BOX ORDER'!J104)*100)+350</f>
        <v>350</v>
      </c>
      <c r="L104" s="23">
        <f t="shared" si="9"/>
        <v>390</v>
      </c>
      <c r="M104" s="23"/>
      <c r="P104" s="64">
        <v>97</v>
      </c>
      <c r="Q104" s="64" t="str">
        <v>HOODS</v>
      </c>
      <c r="R104" s="64">
        <v>0</v>
      </c>
      <c r="S104" s="64">
        <v>0</v>
      </c>
      <c r="T104" s="64">
        <v>0</v>
      </c>
      <c r="U104" s="64">
        <v>0</v>
      </c>
      <c r="V104" s="64">
        <v>0</v>
      </c>
      <c r="W104" s="23">
        <v>350</v>
      </c>
      <c r="X104" s="23">
        <v>390</v>
      </c>
      <c r="Y104" s="24">
        <v>0</v>
      </c>
    </row>
    <row r="105" spans="1:25" ht="60" hidden="1" customHeight="1" x14ac:dyDescent="0.25">
      <c r="A105" s="10" t="str">
        <f t="shared" si="8"/>
        <v/>
      </c>
      <c r="B105" s="10" t="s">
        <v>8</v>
      </c>
      <c r="D105" s="64">
        <f t="shared" si="7"/>
        <v>98</v>
      </c>
      <c r="E105" s="65" t="s">
        <v>18</v>
      </c>
      <c r="F105" s="66"/>
      <c r="G105" s="64"/>
      <c r="H105" s="67"/>
      <c r="I105" s="67"/>
      <c r="J105" s="64"/>
      <c r="K105" s="68">
        <f>SUM(CALCULATIONS!B99)+(('BOX ORDER'!J105)*100)+350</f>
        <v>350</v>
      </c>
      <c r="L105" s="23">
        <f t="shared" si="9"/>
        <v>390</v>
      </c>
      <c r="M105" s="23"/>
      <c r="P105" s="64">
        <v>98</v>
      </c>
      <c r="Q105" s="64" t="str">
        <v>HOODS</v>
      </c>
      <c r="R105" s="64">
        <v>0</v>
      </c>
      <c r="S105" s="64">
        <v>0</v>
      </c>
      <c r="T105" s="64">
        <v>0</v>
      </c>
      <c r="U105" s="64">
        <v>0</v>
      </c>
      <c r="V105" s="64">
        <v>0</v>
      </c>
      <c r="W105" s="23">
        <v>350</v>
      </c>
      <c r="X105" s="23">
        <v>390</v>
      </c>
      <c r="Y105" s="24">
        <v>0</v>
      </c>
    </row>
    <row r="106" spans="1:25" ht="60" hidden="1" customHeight="1" x14ac:dyDescent="0.25">
      <c r="A106" s="10" t="str">
        <f t="shared" si="8"/>
        <v/>
      </c>
      <c r="B106" s="10" t="s">
        <v>8</v>
      </c>
      <c r="D106" s="64">
        <f t="shared" si="7"/>
        <v>99</v>
      </c>
      <c r="E106" s="65" t="s">
        <v>18</v>
      </c>
      <c r="F106" s="66"/>
      <c r="G106" s="64"/>
      <c r="H106" s="67"/>
      <c r="I106" s="67"/>
      <c r="J106" s="64"/>
      <c r="K106" s="68">
        <f>SUM(CALCULATIONS!B100)+(('BOX ORDER'!J106)*100)+350</f>
        <v>350</v>
      </c>
      <c r="L106" s="23">
        <f t="shared" si="9"/>
        <v>390</v>
      </c>
      <c r="M106" s="23"/>
      <c r="P106" s="64">
        <v>99</v>
      </c>
      <c r="Q106" s="64" t="str">
        <v>HOODS</v>
      </c>
      <c r="R106" s="64">
        <v>0</v>
      </c>
      <c r="S106" s="64">
        <v>0</v>
      </c>
      <c r="T106" s="64">
        <v>0</v>
      </c>
      <c r="U106" s="64">
        <v>0</v>
      </c>
      <c r="V106" s="64">
        <v>0</v>
      </c>
      <c r="W106" s="23">
        <v>350</v>
      </c>
      <c r="X106" s="23">
        <v>390</v>
      </c>
      <c r="Y106" s="24">
        <v>0</v>
      </c>
    </row>
    <row r="107" spans="1:25" ht="60" hidden="1" customHeight="1" x14ac:dyDescent="0.25">
      <c r="A107" s="10" t="str">
        <f t="shared" si="8"/>
        <v/>
      </c>
      <c r="B107" s="10" t="s">
        <v>8</v>
      </c>
      <c r="D107" s="64">
        <f t="shared" si="7"/>
        <v>100</v>
      </c>
      <c r="E107" s="65" t="s">
        <v>18</v>
      </c>
      <c r="F107" s="66"/>
      <c r="G107" s="64"/>
      <c r="H107" s="67"/>
      <c r="I107" s="67"/>
      <c r="J107" s="64"/>
      <c r="K107" s="68">
        <f>SUM(CALCULATIONS!B101)+(('BOX ORDER'!J107)*100)+350</f>
        <v>350</v>
      </c>
      <c r="L107" s="23">
        <f t="shared" si="9"/>
        <v>390</v>
      </c>
      <c r="M107" s="23"/>
      <c r="P107" s="64">
        <v>100</v>
      </c>
      <c r="Q107" s="64" t="str">
        <v>HOODS</v>
      </c>
      <c r="R107" s="64">
        <v>0</v>
      </c>
      <c r="S107" s="64">
        <v>0</v>
      </c>
      <c r="T107" s="64">
        <v>0</v>
      </c>
      <c r="U107" s="64">
        <v>0</v>
      </c>
      <c r="V107" s="64">
        <v>0</v>
      </c>
      <c r="W107" s="23">
        <v>350</v>
      </c>
      <c r="X107" s="23">
        <v>390</v>
      </c>
      <c r="Y107" s="24">
        <v>0</v>
      </c>
    </row>
    <row r="108" spans="1:25" ht="60" hidden="1" customHeight="1" x14ac:dyDescent="0.25">
      <c r="A108" s="10" t="str">
        <f t="shared" si="8"/>
        <v/>
      </c>
      <c r="B108" s="10" t="s">
        <v>8</v>
      </c>
      <c r="D108" s="64">
        <f t="shared" si="7"/>
        <v>101</v>
      </c>
      <c r="E108" s="65" t="s">
        <v>18</v>
      </c>
      <c r="F108" s="66"/>
      <c r="G108" s="64"/>
      <c r="H108" s="67"/>
      <c r="I108" s="67"/>
      <c r="J108" s="64"/>
      <c r="K108" s="68">
        <f>SUM(CALCULATIONS!B102)+(('BOX ORDER'!J108)*100)+350</f>
        <v>350</v>
      </c>
      <c r="L108" s="23">
        <f t="shared" si="9"/>
        <v>390</v>
      </c>
      <c r="M108" s="23"/>
      <c r="P108" s="64">
        <v>101</v>
      </c>
      <c r="Q108" s="64" t="str">
        <v>HOODS</v>
      </c>
      <c r="R108" s="64">
        <v>0</v>
      </c>
      <c r="S108" s="64">
        <v>0</v>
      </c>
      <c r="T108" s="64">
        <v>0</v>
      </c>
      <c r="U108" s="64">
        <v>0</v>
      </c>
      <c r="V108" s="64">
        <v>0</v>
      </c>
      <c r="W108" s="23">
        <v>350</v>
      </c>
      <c r="X108" s="23">
        <v>390</v>
      </c>
      <c r="Y108" s="24">
        <v>0</v>
      </c>
    </row>
    <row r="109" spans="1:25" ht="60" hidden="1" customHeight="1" x14ac:dyDescent="0.25">
      <c r="A109" s="10" t="str">
        <f t="shared" si="8"/>
        <v/>
      </c>
      <c r="B109" s="10" t="s">
        <v>8</v>
      </c>
      <c r="D109" s="64">
        <f t="shared" si="7"/>
        <v>102</v>
      </c>
      <c r="E109" s="65" t="s">
        <v>18</v>
      </c>
      <c r="F109" s="66"/>
      <c r="G109" s="64"/>
      <c r="H109" s="67"/>
      <c r="I109" s="67"/>
      <c r="J109" s="64"/>
      <c r="K109" s="68">
        <f>SUM(CALCULATIONS!B103)+(('BOX ORDER'!J109)*100)+350</f>
        <v>350</v>
      </c>
      <c r="L109" s="23">
        <f t="shared" si="9"/>
        <v>390</v>
      </c>
      <c r="M109" s="23"/>
      <c r="P109" s="64">
        <v>102</v>
      </c>
      <c r="Q109" s="64" t="str">
        <v>HOODS</v>
      </c>
      <c r="R109" s="64">
        <v>0</v>
      </c>
      <c r="S109" s="64">
        <v>0</v>
      </c>
      <c r="T109" s="64">
        <v>0</v>
      </c>
      <c r="U109" s="64">
        <v>0</v>
      </c>
      <c r="V109" s="64">
        <v>0</v>
      </c>
      <c r="W109" s="23">
        <v>350</v>
      </c>
      <c r="X109" s="23">
        <v>390</v>
      </c>
      <c r="Y109" s="24">
        <v>0</v>
      </c>
    </row>
    <row r="110" spans="1:25" ht="60" hidden="1" customHeight="1" x14ac:dyDescent="0.25">
      <c r="A110" s="10" t="str">
        <f t="shared" si="8"/>
        <v/>
      </c>
      <c r="B110" s="10" t="s">
        <v>8</v>
      </c>
      <c r="D110" s="64">
        <f t="shared" si="7"/>
        <v>103</v>
      </c>
      <c r="E110" s="65" t="s">
        <v>18</v>
      </c>
      <c r="F110" s="66"/>
      <c r="G110" s="64"/>
      <c r="H110" s="67"/>
      <c r="I110" s="67"/>
      <c r="J110" s="64"/>
      <c r="K110" s="68">
        <f>SUM(CALCULATIONS!B104)+(('BOX ORDER'!J110)*100)+350</f>
        <v>350</v>
      </c>
      <c r="L110" s="23">
        <f t="shared" si="9"/>
        <v>390</v>
      </c>
      <c r="M110" s="23"/>
      <c r="P110" s="64">
        <v>103</v>
      </c>
      <c r="Q110" s="64" t="str">
        <v>HOODS</v>
      </c>
      <c r="R110" s="64">
        <v>0</v>
      </c>
      <c r="S110" s="64">
        <v>0</v>
      </c>
      <c r="T110" s="64">
        <v>0</v>
      </c>
      <c r="U110" s="64">
        <v>0</v>
      </c>
      <c r="V110" s="64">
        <v>0</v>
      </c>
      <c r="W110" s="23">
        <v>350</v>
      </c>
      <c r="X110" s="23">
        <v>390</v>
      </c>
      <c r="Y110" s="24">
        <v>0</v>
      </c>
    </row>
    <row r="111" spans="1:25" ht="60" hidden="1" customHeight="1" x14ac:dyDescent="0.25">
      <c r="A111" s="10" t="str">
        <f t="shared" si="8"/>
        <v/>
      </c>
      <c r="B111" s="10" t="s">
        <v>8</v>
      </c>
      <c r="D111" s="64">
        <f t="shared" si="7"/>
        <v>104</v>
      </c>
      <c r="E111" s="65" t="s">
        <v>18</v>
      </c>
      <c r="F111" s="66"/>
      <c r="G111" s="64"/>
      <c r="H111" s="67"/>
      <c r="I111" s="67"/>
      <c r="J111" s="64"/>
      <c r="K111" s="68">
        <f>SUM(CALCULATIONS!B105)+(('BOX ORDER'!J111)*100)+350</f>
        <v>350</v>
      </c>
      <c r="L111" s="23">
        <f t="shared" si="9"/>
        <v>390</v>
      </c>
      <c r="M111" s="23"/>
      <c r="P111" s="64">
        <v>104</v>
      </c>
      <c r="Q111" s="64" t="str">
        <v>HOODS</v>
      </c>
      <c r="R111" s="64">
        <v>0</v>
      </c>
      <c r="S111" s="64">
        <v>0</v>
      </c>
      <c r="T111" s="64">
        <v>0</v>
      </c>
      <c r="U111" s="64">
        <v>0</v>
      </c>
      <c r="V111" s="64">
        <v>0</v>
      </c>
      <c r="W111" s="23">
        <v>350</v>
      </c>
      <c r="X111" s="23">
        <v>390</v>
      </c>
      <c r="Y111" s="24">
        <v>0</v>
      </c>
    </row>
    <row r="112" spans="1:25" ht="60" hidden="1" customHeight="1" x14ac:dyDescent="0.25">
      <c r="A112" s="10" t="str">
        <f t="shared" si="8"/>
        <v/>
      </c>
      <c r="B112" s="10" t="s">
        <v>8</v>
      </c>
      <c r="D112" s="64">
        <f t="shared" si="7"/>
        <v>105</v>
      </c>
      <c r="E112" s="65" t="s">
        <v>18</v>
      </c>
      <c r="F112" s="66"/>
      <c r="G112" s="64"/>
      <c r="H112" s="67"/>
      <c r="I112" s="67"/>
      <c r="J112" s="64"/>
      <c r="K112" s="68">
        <f>SUM(CALCULATIONS!B106)+(('BOX ORDER'!J112)*100)+350</f>
        <v>350</v>
      </c>
      <c r="L112" s="23">
        <f t="shared" si="9"/>
        <v>390</v>
      </c>
      <c r="M112" s="23"/>
      <c r="P112" s="64">
        <v>105</v>
      </c>
      <c r="Q112" s="64" t="str">
        <v>HOODS</v>
      </c>
      <c r="R112" s="64">
        <v>0</v>
      </c>
      <c r="S112" s="64">
        <v>0</v>
      </c>
      <c r="T112" s="64">
        <v>0</v>
      </c>
      <c r="U112" s="64">
        <v>0</v>
      </c>
      <c r="V112" s="64">
        <v>0</v>
      </c>
      <c r="W112" s="23">
        <v>350</v>
      </c>
      <c r="X112" s="23">
        <v>390</v>
      </c>
      <c r="Y112" s="24">
        <v>0</v>
      </c>
    </row>
    <row r="113" spans="1:30" ht="47.25" hidden="1" customHeight="1" x14ac:dyDescent="0.25">
      <c r="A113" s="10" t="str">
        <f t="shared" si="8"/>
        <v/>
      </c>
      <c r="B113" s="10" t="s">
        <v>8</v>
      </c>
      <c r="D113" s="64">
        <f t="shared" si="7"/>
        <v>106</v>
      </c>
      <c r="E113" s="65" t="s">
        <v>18</v>
      </c>
      <c r="F113" s="66"/>
      <c r="G113" s="64"/>
      <c r="H113" s="67"/>
      <c r="I113" s="67"/>
      <c r="J113" s="64"/>
      <c r="K113" s="68">
        <f>SUM(CALCULATIONS!B107)+(('BOX ORDER'!J113)*100)+350</f>
        <v>350</v>
      </c>
      <c r="L113" s="23">
        <f t="shared" si="9"/>
        <v>390</v>
      </c>
      <c r="M113" s="23"/>
      <c r="P113" s="64">
        <v>106</v>
      </c>
      <c r="Q113" s="64" t="str">
        <v>HOODS</v>
      </c>
      <c r="R113" s="64">
        <v>0</v>
      </c>
      <c r="S113" s="64">
        <v>0</v>
      </c>
      <c r="T113" s="64">
        <v>0</v>
      </c>
      <c r="U113" s="64">
        <v>0</v>
      </c>
      <c r="V113" s="64">
        <v>0</v>
      </c>
      <c r="W113" s="23">
        <v>350</v>
      </c>
      <c r="X113" s="23">
        <v>390</v>
      </c>
      <c r="Y113" s="24">
        <v>0</v>
      </c>
    </row>
    <row r="114" spans="1:30" ht="50.1" hidden="1" customHeight="1" x14ac:dyDescent="0.25">
      <c r="A114" s="10" t="str">
        <f t="shared" si="8"/>
        <v/>
      </c>
      <c r="B114" s="10" t="s">
        <v>8</v>
      </c>
      <c r="D114" s="64">
        <f t="shared" si="7"/>
        <v>107</v>
      </c>
      <c r="E114" s="65" t="s">
        <v>18</v>
      </c>
      <c r="F114" s="66"/>
      <c r="G114" s="64"/>
      <c r="H114" s="67"/>
      <c r="I114" s="67"/>
      <c r="J114" s="64"/>
      <c r="K114" s="68">
        <f>SUM(CALCULATIONS!B108)+(('BOX ORDER'!J114)*100)+350</f>
        <v>350</v>
      </c>
      <c r="L114" s="23">
        <f t="shared" si="9"/>
        <v>390</v>
      </c>
      <c r="M114" s="23"/>
      <c r="P114" s="64">
        <v>107</v>
      </c>
      <c r="Q114" s="64" t="str">
        <v>HOODS</v>
      </c>
      <c r="R114" s="64">
        <v>0</v>
      </c>
      <c r="S114" s="64">
        <v>0</v>
      </c>
      <c r="T114" s="64">
        <v>0</v>
      </c>
      <c r="U114" s="64">
        <v>0</v>
      </c>
      <c r="V114" s="64">
        <v>0</v>
      </c>
      <c r="W114" s="23">
        <v>350</v>
      </c>
      <c r="X114" s="23">
        <v>390</v>
      </c>
      <c r="Y114" s="24">
        <v>0</v>
      </c>
    </row>
    <row r="115" spans="1:30" ht="49.5" hidden="1" customHeight="1" x14ac:dyDescent="0.25">
      <c r="A115" s="10" t="str">
        <f t="shared" si="8"/>
        <v/>
      </c>
      <c r="B115" s="10" t="s">
        <v>8</v>
      </c>
      <c r="D115" s="64">
        <f t="shared" si="7"/>
        <v>108</v>
      </c>
      <c r="E115" s="65" t="s">
        <v>18</v>
      </c>
      <c r="F115" s="66"/>
      <c r="G115" s="64"/>
      <c r="H115" s="67"/>
      <c r="I115" s="67"/>
      <c r="J115" s="64"/>
      <c r="K115" s="68">
        <f>SUM(CALCULATIONS!B109)+(('BOX ORDER'!J115)*100)+350</f>
        <v>350</v>
      </c>
      <c r="L115" s="23">
        <f t="shared" si="9"/>
        <v>390</v>
      </c>
      <c r="M115" s="23"/>
      <c r="P115" s="64">
        <v>108</v>
      </c>
      <c r="Q115" s="64" t="str">
        <v>HOODS</v>
      </c>
      <c r="R115" s="64">
        <v>0</v>
      </c>
      <c r="S115" s="64">
        <v>0</v>
      </c>
      <c r="T115" s="64">
        <v>0</v>
      </c>
      <c r="U115" s="64">
        <v>0</v>
      </c>
      <c r="V115" s="64">
        <v>0</v>
      </c>
      <c r="W115" s="23">
        <v>350</v>
      </c>
      <c r="X115" s="23">
        <v>390</v>
      </c>
      <c r="Y115" s="24">
        <v>0</v>
      </c>
    </row>
    <row r="116" spans="1:30" ht="48.75" hidden="1" customHeight="1" x14ac:dyDescent="0.25">
      <c r="A116" s="10" t="str">
        <f t="shared" si="8"/>
        <v/>
      </c>
      <c r="B116" s="10" t="s">
        <v>8</v>
      </c>
      <c r="D116" s="64">
        <f t="shared" si="7"/>
        <v>109</v>
      </c>
      <c r="E116" s="65" t="s">
        <v>18</v>
      </c>
      <c r="F116" s="66"/>
      <c r="G116" s="64"/>
      <c r="H116" s="67"/>
      <c r="I116" s="67"/>
      <c r="J116" s="64"/>
      <c r="K116" s="68">
        <f>SUM(CALCULATIONS!B110)+(('BOX ORDER'!J116)*100)+350</f>
        <v>350</v>
      </c>
      <c r="L116" s="23">
        <f t="shared" si="9"/>
        <v>390</v>
      </c>
      <c r="M116" s="23"/>
      <c r="P116" s="64">
        <v>109</v>
      </c>
      <c r="Q116" s="64" t="str">
        <v>HOODS</v>
      </c>
      <c r="R116" s="64">
        <v>0</v>
      </c>
      <c r="S116" s="64">
        <v>0</v>
      </c>
      <c r="T116" s="64">
        <v>0</v>
      </c>
      <c r="U116" s="64">
        <v>0</v>
      </c>
      <c r="V116" s="64">
        <v>0</v>
      </c>
      <c r="W116" s="23">
        <v>350</v>
      </c>
      <c r="X116" s="23">
        <v>390</v>
      </c>
      <c r="Y116" s="24">
        <v>0</v>
      </c>
    </row>
    <row r="117" spans="1:30" ht="51" hidden="1" customHeight="1" x14ac:dyDescent="0.25">
      <c r="A117" s="10" t="str">
        <f t="shared" si="8"/>
        <v/>
      </c>
      <c r="B117" s="10" t="s">
        <v>8</v>
      </c>
      <c r="D117" s="64">
        <f t="shared" si="7"/>
        <v>110</v>
      </c>
      <c r="E117" s="65" t="s">
        <v>18</v>
      </c>
      <c r="F117" s="66"/>
      <c r="G117" s="64"/>
      <c r="H117" s="67"/>
      <c r="I117" s="67"/>
      <c r="J117" s="64"/>
      <c r="K117" s="68">
        <f>SUM(CALCULATIONS!B111)+(('BOX ORDER'!J117)*100)+350</f>
        <v>350</v>
      </c>
      <c r="L117" s="23">
        <f t="shared" si="9"/>
        <v>390</v>
      </c>
      <c r="M117" s="23"/>
      <c r="P117" s="64">
        <v>110</v>
      </c>
      <c r="Q117" s="64" t="str">
        <v>HOODS</v>
      </c>
      <c r="R117" s="64">
        <v>0</v>
      </c>
      <c r="S117" s="64">
        <v>0</v>
      </c>
      <c r="T117" s="64">
        <v>0</v>
      </c>
      <c r="U117" s="64">
        <v>0</v>
      </c>
      <c r="V117" s="64">
        <v>0</v>
      </c>
      <c r="W117" s="23">
        <v>350</v>
      </c>
      <c r="X117" s="23">
        <v>390</v>
      </c>
      <c r="Y117" s="24">
        <v>0</v>
      </c>
    </row>
    <row r="118" spans="1:30" s="107" customFormat="1" ht="50.1" customHeight="1" x14ac:dyDescent="0.25">
      <c r="A118" s="107" t="str">
        <f t="shared" ref="A118" si="10">IF(G118,_xlfn.TEXTBEFORE($D$2," -"),"")</f>
        <v/>
      </c>
    </row>
    <row r="119" spans="1:30" s="74" customFormat="1" ht="61.5" customHeight="1" x14ac:dyDescent="0.25">
      <c r="C119" s="36"/>
      <c r="D119" s="16" t="s">
        <v>19</v>
      </c>
      <c r="E119" s="16"/>
      <c r="F119" s="16"/>
      <c r="G119" s="16"/>
      <c r="H119" s="15"/>
      <c r="I119" s="100" t="s">
        <v>21</v>
      </c>
      <c r="J119" s="100"/>
      <c r="K119" s="100"/>
      <c r="L119" s="15" t="s">
        <v>22</v>
      </c>
      <c r="M119" s="36"/>
      <c r="N119" s="36"/>
      <c r="O119" s="36"/>
      <c r="P119" s="16" t="s">
        <v>19</v>
      </c>
      <c r="Q119" s="16"/>
      <c r="R119" s="16"/>
      <c r="S119" s="16"/>
      <c r="T119" s="15" t="s">
        <v>20</v>
      </c>
      <c r="U119" s="100" t="s">
        <v>21</v>
      </c>
      <c r="V119" s="100"/>
      <c r="W119" s="100"/>
      <c r="X119" s="15" t="s">
        <v>22</v>
      </c>
      <c r="Y119" s="36"/>
      <c r="Z119" s="36"/>
      <c r="AA119" s="36"/>
      <c r="AB119" s="36"/>
      <c r="AC119" s="36"/>
      <c r="AD119" s="36"/>
    </row>
    <row r="120" spans="1:30" s="57" customFormat="1" ht="53.25" customHeight="1" x14ac:dyDescent="0.25">
      <c r="C120" s="39"/>
      <c r="D120" s="91"/>
      <c r="E120" s="92"/>
      <c r="F120" s="92"/>
      <c r="G120" s="93"/>
      <c r="H120" s="15"/>
      <c r="I120" s="94" t="s">
        <v>23</v>
      </c>
      <c r="J120" s="94"/>
      <c r="K120" s="94"/>
      <c r="L120" s="15"/>
      <c r="M120" s="39"/>
      <c r="N120" s="39"/>
      <c r="O120" s="39"/>
      <c r="P120" s="91"/>
      <c r="Q120" s="92"/>
      <c r="R120" s="92"/>
      <c r="S120" s="93"/>
      <c r="T120" s="15"/>
      <c r="U120" s="94" t="s">
        <v>23</v>
      </c>
      <c r="V120" s="94"/>
      <c r="W120" s="94"/>
      <c r="X120" s="15"/>
      <c r="Y120" s="39"/>
      <c r="Z120" s="39"/>
      <c r="AA120" s="39"/>
      <c r="AB120" s="39"/>
      <c r="AC120" s="39"/>
      <c r="AD120" s="39"/>
    </row>
    <row r="121" spans="1:30" s="57" customFormat="1" ht="53.25" customHeight="1" x14ac:dyDescent="0.25">
      <c r="C121" s="39"/>
      <c r="D121" s="91"/>
      <c r="E121" s="92"/>
      <c r="F121" s="92"/>
      <c r="G121" s="93"/>
      <c r="H121" s="15"/>
      <c r="I121" s="94" t="s">
        <v>24</v>
      </c>
      <c r="J121" s="94"/>
      <c r="K121" s="94"/>
      <c r="L121" s="15"/>
      <c r="M121" s="39"/>
      <c r="N121" s="39"/>
      <c r="O121" s="39"/>
      <c r="P121" s="91"/>
      <c r="Q121" s="92"/>
      <c r="R121" s="92"/>
      <c r="S121" s="93"/>
      <c r="T121" s="15"/>
      <c r="U121" s="94" t="s">
        <v>24</v>
      </c>
      <c r="V121" s="94"/>
      <c r="W121" s="94"/>
      <c r="X121" s="15"/>
      <c r="Y121" s="39"/>
      <c r="Z121" s="39"/>
      <c r="AA121" s="39"/>
      <c r="AB121" s="39"/>
      <c r="AC121" s="39"/>
      <c r="AD121" s="39"/>
    </row>
    <row r="122" spans="1:30" s="57" customFormat="1" ht="53.25" customHeight="1" x14ac:dyDescent="0.25">
      <c r="C122" s="39"/>
      <c r="D122" s="91"/>
      <c r="E122" s="92"/>
      <c r="F122" s="92"/>
      <c r="G122" s="93"/>
      <c r="H122" s="15"/>
      <c r="I122" s="95" t="s">
        <v>25</v>
      </c>
      <c r="J122" s="95"/>
      <c r="K122" s="95"/>
      <c r="L122" s="40"/>
      <c r="M122" s="39"/>
      <c r="N122" s="39"/>
      <c r="O122" s="39"/>
      <c r="P122" s="91"/>
      <c r="Q122" s="92"/>
      <c r="R122" s="92"/>
      <c r="S122" s="93"/>
      <c r="T122" s="15"/>
      <c r="U122" s="95" t="s">
        <v>25</v>
      </c>
      <c r="V122" s="95"/>
      <c r="W122" s="95"/>
      <c r="X122" s="40"/>
      <c r="Y122" s="39"/>
      <c r="Z122" s="39"/>
      <c r="AA122" s="39"/>
      <c r="AB122" s="39"/>
      <c r="AC122" s="39"/>
      <c r="AD122" s="39"/>
    </row>
    <row r="123" spans="1:30" s="57" customFormat="1" ht="53.25" customHeight="1" x14ac:dyDescent="0.25">
      <c r="C123" s="39"/>
      <c r="D123" s="91"/>
      <c r="E123" s="92"/>
      <c r="F123" s="92"/>
      <c r="G123" s="93"/>
      <c r="H123" s="41"/>
      <c r="I123" s="96" t="s">
        <v>26</v>
      </c>
      <c r="J123" s="96"/>
      <c r="K123" s="96"/>
      <c r="L123" s="40"/>
      <c r="M123" s="39"/>
      <c r="N123" s="39"/>
      <c r="O123" s="39"/>
      <c r="P123" s="91"/>
      <c r="Q123" s="92"/>
      <c r="R123" s="92"/>
      <c r="S123" s="93"/>
      <c r="T123" s="41"/>
      <c r="U123" s="96" t="s">
        <v>26</v>
      </c>
      <c r="V123" s="96"/>
      <c r="W123" s="96"/>
      <c r="X123" s="40"/>
      <c r="Y123" s="39"/>
      <c r="Z123" s="39"/>
      <c r="AA123" s="39"/>
      <c r="AB123" s="39"/>
      <c r="AC123" s="39"/>
      <c r="AD123" s="39"/>
    </row>
    <row r="124" spans="1:30" s="57" customFormat="1" ht="53.25" customHeight="1" x14ac:dyDescent="0.25">
      <c r="C124" s="39"/>
      <c r="D124" s="91"/>
      <c r="E124" s="92"/>
      <c r="F124" s="92"/>
      <c r="G124" s="93"/>
      <c r="H124" s="15"/>
      <c r="I124" s="96" t="s">
        <v>27</v>
      </c>
      <c r="J124" s="96"/>
      <c r="K124" s="96"/>
      <c r="L124" s="40"/>
      <c r="M124" s="39"/>
      <c r="N124" s="39"/>
      <c r="O124" s="39"/>
      <c r="P124" s="91"/>
      <c r="Q124" s="92"/>
      <c r="R124" s="92"/>
      <c r="S124" s="93"/>
      <c r="T124" s="15"/>
      <c r="U124" s="96" t="s">
        <v>27</v>
      </c>
      <c r="V124" s="96"/>
      <c r="W124" s="96"/>
      <c r="X124" s="40"/>
      <c r="Y124" s="39"/>
      <c r="Z124" s="39"/>
      <c r="AA124" s="39"/>
      <c r="AB124" s="39"/>
      <c r="AC124" s="39"/>
      <c r="AD124" s="39"/>
    </row>
    <row r="125" spans="1:30" s="57" customFormat="1" ht="53.25" customHeight="1" x14ac:dyDescent="0.25">
      <c r="C125" s="39"/>
      <c r="D125" s="91"/>
      <c r="E125" s="92"/>
      <c r="F125" s="92"/>
      <c r="G125" s="93"/>
      <c r="H125" s="15"/>
      <c r="I125" s="94" t="s">
        <v>88</v>
      </c>
      <c r="J125" s="94"/>
      <c r="K125" s="94"/>
      <c r="L125" s="15"/>
      <c r="M125" s="39"/>
      <c r="N125" s="39"/>
      <c r="O125" s="39"/>
      <c r="P125" s="91"/>
      <c r="Q125" s="92"/>
      <c r="R125" s="92"/>
      <c r="S125" s="93"/>
      <c r="T125" s="15"/>
      <c r="U125" s="94" t="s">
        <v>51</v>
      </c>
      <c r="V125" s="94"/>
      <c r="W125" s="94"/>
      <c r="X125" s="15"/>
      <c r="Y125" s="39"/>
      <c r="Z125" s="39"/>
      <c r="AA125" s="39"/>
      <c r="AB125" s="39"/>
      <c r="AC125" s="39"/>
      <c r="AD125" s="39"/>
    </row>
    <row r="126" spans="1:30" s="57" customFormat="1" ht="53.25" customHeight="1" x14ac:dyDescent="0.25">
      <c r="C126" s="39"/>
      <c r="D126" s="91"/>
      <c r="E126" s="92"/>
      <c r="F126" s="92"/>
      <c r="G126" s="93"/>
      <c r="H126" s="15"/>
      <c r="I126" s="94" t="s">
        <v>87</v>
      </c>
      <c r="J126" s="94"/>
      <c r="K126" s="94"/>
      <c r="L126" s="15"/>
      <c r="M126" s="39"/>
      <c r="N126" s="39"/>
      <c r="O126" s="39"/>
      <c r="P126" s="91"/>
      <c r="Q126" s="92"/>
      <c r="R126" s="92"/>
      <c r="S126" s="93"/>
      <c r="T126" s="15"/>
      <c r="U126" s="94" t="s">
        <v>87</v>
      </c>
      <c r="V126" s="94"/>
      <c r="W126" s="94"/>
      <c r="X126" s="15"/>
      <c r="Y126" s="39"/>
      <c r="Z126" s="39"/>
      <c r="AA126" s="39"/>
      <c r="AB126" s="39"/>
      <c r="AC126" s="39"/>
      <c r="AD126" s="39"/>
    </row>
    <row r="127" spans="1:30" s="57" customFormat="1" ht="53.25" customHeight="1" x14ac:dyDescent="0.25">
      <c r="C127" s="39"/>
      <c r="D127" s="91"/>
      <c r="E127" s="92"/>
      <c r="F127" s="92"/>
      <c r="G127" s="93"/>
      <c r="H127" s="15"/>
      <c r="I127" s="94"/>
      <c r="J127" s="94"/>
      <c r="K127" s="94"/>
      <c r="L127" s="15"/>
      <c r="M127" s="39"/>
      <c r="N127" s="39"/>
      <c r="O127" s="39"/>
      <c r="P127" s="91"/>
      <c r="Q127" s="92"/>
      <c r="R127" s="92"/>
      <c r="S127" s="93"/>
      <c r="T127" s="15"/>
      <c r="U127" s="94"/>
      <c r="V127" s="94"/>
      <c r="W127" s="94"/>
      <c r="X127" s="15"/>
      <c r="Y127" s="39"/>
      <c r="Z127" s="39"/>
      <c r="AA127" s="39"/>
      <c r="AB127" s="39"/>
      <c r="AC127" s="39"/>
      <c r="AD127" s="39"/>
    </row>
    <row r="128" spans="1:30" s="57" customFormat="1" ht="53.25" customHeight="1" x14ac:dyDescent="0.25">
      <c r="C128" s="39"/>
      <c r="D128" s="91"/>
      <c r="E128" s="92"/>
      <c r="F128" s="92"/>
      <c r="G128" s="93"/>
      <c r="H128" s="15"/>
      <c r="I128" s="94"/>
      <c r="J128" s="94"/>
      <c r="K128" s="94"/>
      <c r="L128" s="15"/>
      <c r="M128" s="39"/>
      <c r="N128" s="39"/>
      <c r="O128" s="39"/>
      <c r="P128" s="91"/>
      <c r="Q128" s="92"/>
      <c r="R128" s="92"/>
      <c r="S128" s="93"/>
      <c r="T128" s="15"/>
      <c r="U128" s="94"/>
      <c r="V128" s="94"/>
      <c r="W128" s="94"/>
      <c r="X128" s="15"/>
      <c r="Y128" s="39"/>
      <c r="Z128" s="39"/>
      <c r="AA128" s="39"/>
      <c r="AB128" s="39"/>
      <c r="AC128" s="39"/>
      <c r="AD128" s="39"/>
    </row>
    <row r="129" spans="2:30" s="57" customFormat="1" ht="53.25" customHeight="1" x14ac:dyDescent="0.25">
      <c r="C129" s="39"/>
      <c r="D129" s="91"/>
      <c r="E129" s="92"/>
      <c r="F129" s="92"/>
      <c r="G129" s="93"/>
      <c r="H129" s="15"/>
      <c r="I129" s="94"/>
      <c r="J129" s="94"/>
      <c r="K129" s="94"/>
      <c r="L129" s="15"/>
      <c r="M129" s="39"/>
      <c r="N129" s="39"/>
      <c r="O129" s="39"/>
      <c r="P129" s="91"/>
      <c r="Q129" s="92"/>
      <c r="R129" s="92"/>
      <c r="S129" s="93"/>
      <c r="T129" s="15"/>
      <c r="U129" s="94"/>
      <c r="V129" s="94"/>
      <c r="W129" s="94"/>
      <c r="X129" s="15"/>
      <c r="Y129" s="39"/>
      <c r="Z129" s="39"/>
      <c r="AA129" s="39"/>
      <c r="AB129" s="39"/>
      <c r="AC129" s="39"/>
      <c r="AD129" s="39"/>
    </row>
    <row r="130" spans="2:30" s="36" customFormat="1" ht="27.75" customHeight="1" x14ac:dyDescent="0.25">
      <c r="B130" s="39"/>
      <c r="H130" s="37"/>
    </row>
    <row r="131" spans="2:30" s="11" customFormat="1" ht="44.25" customHeight="1" x14ac:dyDescent="0.25">
      <c r="G131" s="12" t="s">
        <v>28</v>
      </c>
    </row>
    <row r="132" spans="2:30" s="11" customFormat="1" x14ac:dyDescent="0.25"/>
    <row r="133" spans="2:30" s="11" customFormat="1" x14ac:dyDescent="0.25"/>
    <row r="134" spans="2:30" s="11" customFormat="1" x14ac:dyDescent="0.25"/>
    <row r="135" spans="2:30" s="11" customFormat="1" x14ac:dyDescent="0.25"/>
    <row r="136" spans="2:30" s="11" customFormat="1" x14ac:dyDescent="0.25"/>
    <row r="137" spans="2:30" s="11" customFormat="1" x14ac:dyDescent="0.25"/>
    <row r="138" spans="2:30" s="11" customFormat="1" x14ac:dyDescent="0.25"/>
    <row r="139" spans="2:30" s="11" customFormat="1" x14ac:dyDescent="0.25"/>
    <row r="140" spans="2:30" s="11" customFormat="1" x14ac:dyDescent="0.25"/>
    <row r="141" spans="2:30" s="11" customFormat="1" x14ac:dyDescent="0.25"/>
    <row r="142" spans="2:30" s="11" customFormat="1" x14ac:dyDescent="0.25"/>
    <row r="143" spans="2:30" s="11" customFormat="1" x14ac:dyDescent="0.25"/>
    <row r="144" spans="2:30" s="11" customFormat="1" x14ac:dyDescent="0.25"/>
    <row r="145" s="11" customFormat="1" x14ac:dyDescent="0.25"/>
    <row r="146" s="11" customFormat="1" x14ac:dyDescent="0.25"/>
    <row r="147" s="11" customFormat="1" x14ac:dyDescent="0.25"/>
    <row r="148" s="11" customFormat="1" x14ac:dyDescent="0.25"/>
    <row r="149" s="11" customFormat="1" x14ac:dyDescent="0.25"/>
    <row r="150" s="11" customFormat="1" x14ac:dyDescent="0.25"/>
    <row r="151" s="11" customFormat="1" x14ac:dyDescent="0.25"/>
    <row r="152" s="11" customFormat="1" x14ac:dyDescent="0.25"/>
    <row r="153" s="11" customFormat="1" x14ac:dyDescent="0.25"/>
    <row r="154" s="11" customFormat="1" x14ac:dyDescent="0.25"/>
    <row r="155" s="11" customFormat="1" x14ac:dyDescent="0.25"/>
    <row r="156" s="11" customFormat="1" x14ac:dyDescent="0.25"/>
    <row r="157" s="11" customFormat="1" x14ac:dyDescent="0.25"/>
    <row r="158" s="11" customFormat="1" x14ac:dyDescent="0.25"/>
    <row r="159" s="11" customFormat="1" x14ac:dyDescent="0.25"/>
    <row r="160" s="11" customFormat="1" x14ac:dyDescent="0.25"/>
    <row r="161" s="11" customFormat="1" x14ac:dyDescent="0.25"/>
    <row r="162" s="11" customFormat="1" x14ac:dyDescent="0.25"/>
    <row r="163" s="11" customFormat="1" x14ac:dyDescent="0.25"/>
    <row r="164" s="11" customFormat="1" x14ac:dyDescent="0.25"/>
    <row r="165" s="11" customFormat="1" x14ac:dyDescent="0.25"/>
    <row r="166" s="11" customFormat="1" x14ac:dyDescent="0.25"/>
    <row r="167" s="11" customFormat="1" x14ac:dyDescent="0.25"/>
    <row r="168" s="11" customFormat="1" x14ac:dyDescent="0.25"/>
    <row r="169" s="11" customFormat="1" x14ac:dyDescent="0.25"/>
    <row r="170" s="11" customFormat="1" x14ac:dyDescent="0.25"/>
    <row r="171" s="11" customFormat="1" x14ac:dyDescent="0.25"/>
    <row r="172" s="11" customFormat="1" x14ac:dyDescent="0.25"/>
    <row r="173" s="11" customFormat="1" x14ac:dyDescent="0.25"/>
    <row r="174" s="11" customFormat="1" x14ac:dyDescent="0.25"/>
    <row r="175" s="11" customFormat="1" x14ac:dyDescent="0.25"/>
    <row r="176" s="11" customFormat="1" x14ac:dyDescent="0.25"/>
    <row r="177" s="11" customFormat="1" x14ac:dyDescent="0.25"/>
    <row r="178" s="11" customFormat="1" x14ac:dyDescent="0.25"/>
    <row r="179" s="11" customFormat="1" x14ac:dyDescent="0.25"/>
    <row r="180" s="11" customFormat="1" x14ac:dyDescent="0.25"/>
    <row r="181" s="11" customFormat="1" x14ac:dyDescent="0.25"/>
    <row r="182" s="11" customFormat="1" x14ac:dyDescent="0.25"/>
    <row r="183" s="11" customFormat="1" x14ac:dyDescent="0.25"/>
    <row r="184" s="11" customFormat="1" x14ac:dyDescent="0.25"/>
    <row r="185" s="11" customFormat="1" x14ac:dyDescent="0.25"/>
    <row r="186" s="11" customFormat="1" x14ac:dyDescent="0.25"/>
    <row r="187" s="11" customFormat="1" x14ac:dyDescent="0.25"/>
    <row r="188" s="11" customFormat="1" x14ac:dyDescent="0.25"/>
    <row r="189" s="11" customFormat="1" x14ac:dyDescent="0.25"/>
    <row r="190" s="11" customFormat="1" x14ac:dyDescent="0.25"/>
    <row r="191" s="11" customFormat="1" x14ac:dyDescent="0.25"/>
    <row r="192" s="11" customFormat="1" x14ac:dyDescent="0.25"/>
    <row r="193" s="11" customFormat="1" x14ac:dyDescent="0.25"/>
    <row r="194" s="11" customFormat="1" x14ac:dyDescent="0.25"/>
    <row r="195" s="11" customFormat="1" x14ac:dyDescent="0.25"/>
    <row r="196" s="11" customFormat="1" x14ac:dyDescent="0.25"/>
    <row r="197" s="11" customFormat="1" x14ac:dyDescent="0.25"/>
    <row r="198" s="11" customFormat="1" x14ac:dyDescent="0.25"/>
    <row r="199" s="11" customFormat="1" x14ac:dyDescent="0.25"/>
    <row r="200" s="11" customFormat="1" x14ac:dyDescent="0.25"/>
    <row r="201" s="11" customFormat="1" x14ac:dyDescent="0.25"/>
    <row r="202" s="11" customFormat="1" x14ac:dyDescent="0.25"/>
    <row r="203" s="11" customFormat="1" x14ac:dyDescent="0.25"/>
    <row r="204" s="11" customFormat="1" x14ac:dyDescent="0.25"/>
    <row r="205" s="11" customFormat="1" x14ac:dyDescent="0.25"/>
    <row r="206" s="11" customFormat="1" x14ac:dyDescent="0.25"/>
    <row r="207" s="11" customFormat="1" x14ac:dyDescent="0.25"/>
    <row r="208" s="11" customFormat="1" x14ac:dyDescent="0.25"/>
    <row r="209" s="11" customFormat="1" x14ac:dyDescent="0.25"/>
    <row r="210" s="11" customFormat="1" x14ac:dyDescent="0.25"/>
    <row r="211" s="11" customFormat="1" x14ac:dyDescent="0.25"/>
    <row r="212" s="11" customFormat="1" x14ac:dyDescent="0.25"/>
    <row r="213" s="11" customFormat="1" x14ac:dyDescent="0.25"/>
    <row r="214" s="11" customFormat="1" x14ac:dyDescent="0.25"/>
    <row r="215" s="11" customFormat="1" x14ac:dyDescent="0.25"/>
    <row r="216" s="11" customFormat="1" x14ac:dyDescent="0.25"/>
    <row r="217" s="11" customFormat="1" x14ac:dyDescent="0.25"/>
    <row r="218" s="11" customFormat="1" x14ac:dyDescent="0.25"/>
    <row r="219" s="11" customFormat="1" x14ac:dyDescent="0.25"/>
    <row r="220" s="11" customFormat="1" x14ac:dyDescent="0.25"/>
    <row r="221" s="11" customFormat="1" x14ac:dyDescent="0.25"/>
    <row r="222" s="11" customFormat="1" x14ac:dyDescent="0.25"/>
    <row r="223" s="11" customFormat="1" x14ac:dyDescent="0.25"/>
    <row r="224" s="11" customFormat="1" x14ac:dyDescent="0.25"/>
    <row r="225" s="11" customFormat="1" x14ac:dyDescent="0.25"/>
    <row r="226" s="11" customFormat="1" x14ac:dyDescent="0.25"/>
    <row r="227" s="11" customFormat="1" x14ac:dyDescent="0.25"/>
    <row r="228" s="11" customFormat="1" x14ac:dyDescent="0.25"/>
    <row r="229" s="11" customFormat="1" x14ac:dyDescent="0.25"/>
    <row r="230" s="11" customFormat="1" x14ac:dyDescent="0.25"/>
    <row r="231" s="11" customFormat="1" x14ac:dyDescent="0.25"/>
    <row r="232" s="11" customFormat="1" x14ac:dyDescent="0.25"/>
    <row r="233" s="11" customFormat="1" x14ac:dyDescent="0.25"/>
    <row r="234" s="11" customFormat="1" x14ac:dyDescent="0.25"/>
    <row r="235" s="11" customFormat="1" x14ac:dyDescent="0.25"/>
    <row r="236" s="11" customFormat="1" x14ac:dyDescent="0.25"/>
    <row r="237" s="11" customFormat="1" x14ac:dyDescent="0.25"/>
    <row r="238" s="11" customFormat="1" x14ac:dyDescent="0.25"/>
    <row r="239" s="11" customFormat="1" x14ac:dyDescent="0.25"/>
    <row r="240" s="11" customFormat="1" x14ac:dyDescent="0.25"/>
    <row r="241" s="11" customFormat="1" x14ac:dyDescent="0.25"/>
    <row r="242" s="11" customFormat="1" x14ac:dyDescent="0.25"/>
    <row r="243" s="11" customFormat="1" x14ac:dyDescent="0.25"/>
    <row r="244" s="11" customFormat="1" x14ac:dyDescent="0.25"/>
    <row r="245" s="11" customFormat="1" x14ac:dyDescent="0.25"/>
    <row r="246" s="11" customFormat="1" x14ac:dyDescent="0.25"/>
    <row r="247" s="11" customFormat="1" x14ac:dyDescent="0.25"/>
    <row r="248" s="11" customFormat="1" x14ac:dyDescent="0.25"/>
    <row r="249" s="11" customFormat="1" x14ac:dyDescent="0.25"/>
    <row r="250" s="11" customFormat="1" x14ac:dyDescent="0.25"/>
    <row r="251" s="11" customFormat="1" x14ac:dyDescent="0.25"/>
    <row r="252" s="11" customFormat="1" x14ac:dyDescent="0.25"/>
    <row r="253" s="11" customFormat="1" x14ac:dyDescent="0.25"/>
    <row r="254" s="11" customFormat="1" x14ac:dyDescent="0.25"/>
    <row r="255" s="11" customFormat="1" x14ac:dyDescent="0.25"/>
    <row r="256" s="11" customFormat="1" x14ac:dyDescent="0.25"/>
    <row r="257" s="11" customFormat="1" x14ac:dyDescent="0.25"/>
    <row r="258" s="11" customFormat="1" x14ac:dyDescent="0.25"/>
    <row r="259" s="11" customFormat="1" x14ac:dyDescent="0.25"/>
    <row r="260" s="11" customFormat="1" x14ac:dyDescent="0.25"/>
    <row r="261" s="11" customFormat="1" x14ac:dyDescent="0.25"/>
    <row r="262" s="11" customFormat="1" x14ac:dyDescent="0.25"/>
    <row r="263" s="11" customFormat="1" x14ac:dyDescent="0.25"/>
    <row r="264" s="11" customFormat="1" x14ac:dyDescent="0.25"/>
    <row r="265" s="11" customFormat="1" x14ac:dyDescent="0.25"/>
    <row r="266" s="11" customFormat="1" x14ac:dyDescent="0.25"/>
    <row r="267" s="11" customFormat="1" x14ac:dyDescent="0.25"/>
    <row r="268" s="11" customFormat="1" x14ac:dyDescent="0.25"/>
    <row r="269" s="11" customFormat="1" x14ac:dyDescent="0.25"/>
    <row r="270" s="11" customFormat="1" x14ac:dyDescent="0.25"/>
    <row r="271" s="11" customFormat="1" x14ac:dyDescent="0.25"/>
    <row r="272" s="11" customFormat="1" x14ac:dyDescent="0.25"/>
    <row r="273" s="11" customFormat="1" x14ac:dyDescent="0.25"/>
    <row r="274" s="11" customFormat="1" x14ac:dyDescent="0.25"/>
    <row r="275" s="11" customFormat="1" x14ac:dyDescent="0.25"/>
    <row r="276" s="11" customFormat="1" x14ac:dyDescent="0.25"/>
    <row r="277" s="11" customFormat="1" x14ac:dyDescent="0.25"/>
    <row r="278" s="11" customFormat="1" x14ac:dyDescent="0.25"/>
    <row r="279" s="11" customFormat="1" x14ac:dyDescent="0.25"/>
    <row r="280" s="11" customFormat="1" x14ac:dyDescent="0.25"/>
    <row r="281" s="11" customFormat="1" x14ac:dyDescent="0.25"/>
    <row r="282" s="11" customFormat="1" x14ac:dyDescent="0.25"/>
    <row r="283" s="11" customFormat="1" x14ac:dyDescent="0.25"/>
    <row r="284" s="11" customFormat="1" x14ac:dyDescent="0.25"/>
    <row r="285" s="11" customFormat="1" x14ac:dyDescent="0.25"/>
    <row r="286" s="11" customFormat="1" x14ac:dyDescent="0.25"/>
    <row r="287" s="11" customFormat="1" x14ac:dyDescent="0.25"/>
    <row r="288" s="11" customFormat="1" x14ac:dyDescent="0.25"/>
    <row r="289" s="11" customFormat="1" x14ac:dyDescent="0.25"/>
    <row r="290" s="11" customFormat="1" x14ac:dyDescent="0.25"/>
    <row r="291" s="11" customFormat="1" x14ac:dyDescent="0.25"/>
    <row r="292" s="11" customFormat="1" x14ac:dyDescent="0.25"/>
  </sheetData>
  <mergeCells count="54">
    <mergeCell ref="I128:K128"/>
    <mergeCell ref="I129:K129"/>
    <mergeCell ref="D127:G127"/>
    <mergeCell ref="D121:G121"/>
    <mergeCell ref="D123:G123"/>
    <mergeCell ref="D124:G124"/>
    <mergeCell ref="I121:K121"/>
    <mergeCell ref="I122:K122"/>
    <mergeCell ref="I125:K125"/>
    <mergeCell ref="I126:K126"/>
    <mergeCell ref="I127:K127"/>
    <mergeCell ref="I123:K123"/>
    <mergeCell ref="I124:K124"/>
    <mergeCell ref="D129:G129"/>
    <mergeCell ref="D126:G126"/>
    <mergeCell ref="D128:G128"/>
    <mergeCell ref="K6:L6"/>
    <mergeCell ref="D1:G1"/>
    <mergeCell ref="J4:L4"/>
    <mergeCell ref="D125:G125"/>
    <mergeCell ref="D122:G122"/>
    <mergeCell ref="D120:G120"/>
    <mergeCell ref="I1:M1"/>
    <mergeCell ref="I119:K119"/>
    <mergeCell ref="I120:K120"/>
    <mergeCell ref="D5:M5"/>
    <mergeCell ref="A118:XFD118"/>
    <mergeCell ref="P1:S1"/>
    <mergeCell ref="U1:Y1"/>
    <mergeCell ref="P2:Y2"/>
    <mergeCell ref="V4:X4"/>
    <mergeCell ref="W6:X6"/>
    <mergeCell ref="P5:Y5"/>
    <mergeCell ref="U119:W119"/>
    <mergeCell ref="P120:S120"/>
    <mergeCell ref="U120:W120"/>
    <mergeCell ref="P121:S121"/>
    <mergeCell ref="U121:W121"/>
    <mergeCell ref="P122:S122"/>
    <mergeCell ref="U122:W122"/>
    <mergeCell ref="P123:S123"/>
    <mergeCell ref="U123:W123"/>
    <mergeCell ref="P124:S124"/>
    <mergeCell ref="U124:W124"/>
    <mergeCell ref="P128:S128"/>
    <mergeCell ref="U128:W128"/>
    <mergeCell ref="P129:S129"/>
    <mergeCell ref="U129:W129"/>
    <mergeCell ref="P125:S125"/>
    <mergeCell ref="U125:W125"/>
    <mergeCell ref="P126:S126"/>
    <mergeCell ref="U126:W126"/>
    <mergeCell ref="P127:S127"/>
    <mergeCell ref="U127:W127"/>
  </mergeCells>
  <phoneticPr fontId="11" type="noConversion"/>
  <pageMargins left="0.7" right="0.7" top="0.75" bottom="0.75" header="0.3" footer="0.3"/>
  <pageSetup paperSize="9" scale="4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CE25C5-C6FB-4D28-BE6F-64879EA1F228}">
  <sheetPr>
    <pageSetUpPr fitToPage="1"/>
  </sheetPr>
  <dimension ref="B3:L41"/>
  <sheetViews>
    <sheetView zoomScaleNormal="100" zoomScalePageLayoutView="25" workbookViewId="0">
      <selection activeCell="D1" sqref="D1:G1"/>
    </sheetView>
  </sheetViews>
  <sheetFormatPr defaultColWidth="9" defaultRowHeight="16.5" x14ac:dyDescent="0.3"/>
  <cols>
    <col min="1" max="1" width="5.75" style="43" customWidth="1"/>
    <col min="2" max="3" width="12.125" style="43" customWidth="1"/>
    <col min="4" max="4" width="6.875" style="43" customWidth="1"/>
    <col min="5" max="5" width="20.75" style="43" customWidth="1"/>
    <col min="6" max="6" width="23.625" style="43" customWidth="1"/>
    <col min="7" max="7" width="10.375" style="43" customWidth="1"/>
    <col min="8" max="8" width="22.5" style="43" customWidth="1"/>
    <col min="9" max="16384" width="9" style="43"/>
  </cols>
  <sheetData>
    <row r="3" spans="2:12" ht="24" customHeight="1" x14ac:dyDescent="0.3">
      <c r="G3" s="141"/>
      <c r="H3" s="141"/>
    </row>
    <row r="4" spans="2:12" x14ac:dyDescent="0.3">
      <c r="G4" s="141"/>
      <c r="H4" s="141"/>
    </row>
    <row r="5" spans="2:12" x14ac:dyDescent="0.3">
      <c r="G5" s="141"/>
      <c r="H5" s="141"/>
    </row>
    <row r="7" spans="2:12" s="48" customFormat="1" ht="36" customHeight="1" x14ac:dyDescent="0.25">
      <c r="B7" s="44" t="s">
        <v>34</v>
      </c>
      <c r="C7" s="45"/>
      <c r="D7" s="45"/>
      <c r="E7" s="45"/>
      <c r="F7" s="46" t="s">
        <v>35</v>
      </c>
      <c r="G7" s="142" t="str">
        <f>'BOX ORDER'!D2</f>
        <v>XP0096 - Express by Heka Hoods</v>
      </c>
      <c r="H7" s="142"/>
      <c r="I7" s="47"/>
    </row>
    <row r="8" spans="2:12" s="48" customFormat="1" ht="12" customHeight="1" x14ac:dyDescent="0.25">
      <c r="B8" s="45"/>
      <c r="C8" s="45"/>
      <c r="D8" s="45"/>
      <c r="E8" s="45"/>
      <c r="F8" s="46"/>
      <c r="G8" s="49"/>
      <c r="H8" s="45"/>
      <c r="I8" s="47"/>
    </row>
    <row r="9" spans="2:12" s="48" customFormat="1" ht="30.75" customHeight="1" x14ac:dyDescent="0.25">
      <c r="B9" s="137" t="s">
        <v>36</v>
      </c>
      <c r="C9" s="138"/>
      <c r="D9" s="143">
        <f>COUNTIF('BOX ORDER'!A8:A117,"?*")</f>
        <v>1</v>
      </c>
      <c r="E9" s="143"/>
      <c r="F9" s="50" t="s">
        <v>37</v>
      </c>
      <c r="G9" s="135">
        <f>'BOX ORDER'!F4</f>
        <v>4</v>
      </c>
      <c r="H9" s="136"/>
      <c r="L9" s="48">
        <f>'BOX ORDER'!G4</f>
        <v>1</v>
      </c>
    </row>
    <row r="10" spans="2:12" s="48" customFormat="1" ht="30.75" customHeight="1" x14ac:dyDescent="0.25">
      <c r="B10" s="137" t="s">
        <v>65</v>
      </c>
      <c r="C10" s="138"/>
      <c r="D10" s="135">
        <f>'BOX ORDER'!G4</f>
        <v>1</v>
      </c>
      <c r="E10" s="136"/>
      <c r="F10" s="50" t="s">
        <v>66</v>
      </c>
      <c r="G10" s="135">
        <f>'BOX ORDER'!H4</f>
        <v>1</v>
      </c>
      <c r="H10" s="136"/>
    </row>
    <row r="11" spans="2:12" s="48" customFormat="1" ht="41.25" customHeight="1" thickBot="1" x14ac:dyDescent="0.3">
      <c r="B11" s="51" t="s">
        <v>38</v>
      </c>
      <c r="C11" s="52"/>
      <c r="D11" s="52"/>
      <c r="E11" s="52"/>
      <c r="F11" s="52"/>
      <c r="G11" s="52"/>
      <c r="H11" s="52"/>
    </row>
    <row r="12" spans="2:12" s="48" customFormat="1" ht="43.5" customHeight="1" x14ac:dyDescent="0.25">
      <c r="B12" s="133" t="s">
        <v>39</v>
      </c>
      <c r="C12" s="134"/>
      <c r="D12" s="139">
        <f>D9*7</f>
        <v>7</v>
      </c>
      <c r="E12" s="140"/>
      <c r="F12" s="84" t="s">
        <v>40</v>
      </c>
      <c r="G12" s="139"/>
      <c r="H12" s="140"/>
    </row>
    <row r="13" spans="2:12" s="48" customFormat="1" ht="43.5" customHeight="1" x14ac:dyDescent="0.25">
      <c r="B13" s="118" t="s">
        <v>41</v>
      </c>
      <c r="C13" s="119"/>
      <c r="D13" s="123"/>
      <c r="E13" s="124"/>
      <c r="F13" s="87" t="s">
        <v>42</v>
      </c>
      <c r="G13" s="123"/>
      <c r="H13" s="124"/>
    </row>
    <row r="14" spans="2:12" s="48" customFormat="1" ht="24" customHeight="1" x14ac:dyDescent="0.3">
      <c r="B14" s="113" t="s">
        <v>43</v>
      </c>
      <c r="C14" s="114"/>
      <c r="D14" s="114"/>
      <c r="E14" s="114"/>
      <c r="F14" s="114"/>
      <c r="G14" s="114"/>
      <c r="H14" s="115"/>
    </row>
    <row r="15" spans="2:12" s="48" customFormat="1" ht="20.25" customHeight="1" x14ac:dyDescent="0.25">
      <c r="B15" s="53" t="s">
        <v>44</v>
      </c>
      <c r="C15" s="120" t="s">
        <v>45</v>
      </c>
      <c r="D15" s="121"/>
      <c r="E15" s="121"/>
      <c r="F15" s="121"/>
      <c r="G15" s="121"/>
      <c r="H15" s="122"/>
    </row>
    <row r="16" spans="2:12" s="48" customFormat="1" ht="20.25" customHeight="1" x14ac:dyDescent="0.25">
      <c r="B16" s="53" t="s">
        <v>44</v>
      </c>
      <c r="C16" s="120" t="s">
        <v>46</v>
      </c>
      <c r="D16" s="121"/>
      <c r="E16" s="121"/>
      <c r="F16" s="121"/>
      <c r="G16" s="121"/>
      <c r="H16" s="122"/>
    </row>
    <row r="17" spans="2:8" s="48" customFormat="1" ht="20.25" customHeight="1" x14ac:dyDescent="0.25"/>
    <row r="18" spans="2:8" s="48" customFormat="1" ht="20.25" customHeight="1" thickBot="1" x14ac:dyDescent="0.3">
      <c r="B18" s="54" t="s">
        <v>82</v>
      </c>
      <c r="C18" s="55"/>
      <c r="D18" s="55"/>
      <c r="E18" s="55"/>
      <c r="F18" s="55"/>
      <c r="G18" s="55"/>
      <c r="H18" s="55"/>
    </row>
    <row r="19" spans="2:8" s="48" customFormat="1" ht="36.75" customHeight="1" x14ac:dyDescent="0.25">
      <c r="B19" s="133" t="s">
        <v>83</v>
      </c>
      <c r="C19" s="144"/>
      <c r="D19" s="85"/>
      <c r="E19" s="86"/>
      <c r="F19" s="125" t="s">
        <v>48</v>
      </c>
      <c r="G19" s="127"/>
      <c r="H19" s="128"/>
    </row>
    <row r="20" spans="2:8" s="48" customFormat="1" ht="39" customHeight="1" x14ac:dyDescent="0.25">
      <c r="B20" s="145" t="s">
        <v>84</v>
      </c>
      <c r="C20" s="146"/>
      <c r="D20" s="131"/>
      <c r="E20" s="132"/>
      <c r="F20" s="126"/>
      <c r="G20" s="129"/>
      <c r="H20" s="130"/>
    </row>
    <row r="21" spans="2:8" s="48" customFormat="1" ht="25.5" customHeight="1" x14ac:dyDescent="0.25">
      <c r="B21" s="147"/>
      <c r="C21" s="147"/>
      <c r="D21" s="147"/>
      <c r="E21" s="147"/>
      <c r="F21" s="147"/>
      <c r="G21" s="147"/>
      <c r="H21" s="147"/>
    </row>
    <row r="22" spans="2:8" s="48" customFormat="1" ht="20.25" customHeight="1" thickBot="1" x14ac:dyDescent="0.3">
      <c r="B22" s="54" t="s">
        <v>70</v>
      </c>
      <c r="C22" s="55"/>
      <c r="D22" s="55"/>
      <c r="E22" s="55"/>
      <c r="F22" s="55"/>
      <c r="G22" s="55"/>
      <c r="H22" s="55"/>
    </row>
    <row r="23" spans="2:8" s="48" customFormat="1" ht="42" customHeight="1" x14ac:dyDescent="0.25">
      <c r="B23" s="133" t="s">
        <v>52</v>
      </c>
      <c r="C23" s="134"/>
      <c r="D23" s="139"/>
      <c r="E23" s="140"/>
      <c r="F23" s="125" t="s">
        <v>72</v>
      </c>
      <c r="G23" s="127"/>
      <c r="H23" s="128"/>
    </row>
    <row r="24" spans="2:8" s="48" customFormat="1" ht="36.75" customHeight="1" x14ac:dyDescent="0.25">
      <c r="B24" s="118" t="s">
        <v>71</v>
      </c>
      <c r="C24" s="119"/>
      <c r="D24" s="123"/>
      <c r="E24" s="124"/>
      <c r="F24" s="126"/>
      <c r="G24" s="129"/>
      <c r="H24" s="130"/>
    </row>
    <row r="25" spans="2:8" s="48" customFormat="1" ht="20.25" customHeight="1" x14ac:dyDescent="0.25">
      <c r="B25" s="147"/>
      <c r="C25" s="147"/>
      <c r="D25" s="147"/>
      <c r="E25" s="147"/>
      <c r="F25" s="147"/>
      <c r="G25" s="147"/>
      <c r="H25" s="147"/>
    </row>
    <row r="26" spans="2:8" s="48" customFormat="1" ht="20.25" customHeight="1" thickBot="1" x14ac:dyDescent="0.3">
      <c r="B26" s="54" t="s">
        <v>49</v>
      </c>
      <c r="C26" s="55"/>
      <c r="D26" s="55"/>
      <c r="E26" s="55"/>
      <c r="F26" s="55"/>
      <c r="G26" s="55"/>
      <c r="H26" s="55"/>
    </row>
    <row r="27" spans="2:8" s="48" customFormat="1" ht="34.5" customHeight="1" x14ac:dyDescent="0.25">
      <c r="B27" s="133" t="s">
        <v>53</v>
      </c>
      <c r="C27" s="134"/>
      <c r="D27" s="139">
        <f>D9*6</f>
        <v>6</v>
      </c>
      <c r="E27" s="140"/>
      <c r="F27" s="84" t="s">
        <v>47</v>
      </c>
      <c r="G27" s="139"/>
      <c r="H27" s="140"/>
    </row>
    <row r="28" spans="2:8" s="48" customFormat="1" ht="37.5" customHeight="1" x14ac:dyDescent="0.25">
      <c r="B28" s="118" t="s">
        <v>41</v>
      </c>
      <c r="C28" s="119"/>
      <c r="D28" s="88"/>
      <c r="E28" s="89"/>
      <c r="F28" s="87" t="s">
        <v>42</v>
      </c>
      <c r="G28" s="88"/>
      <c r="H28" s="89"/>
    </row>
    <row r="29" spans="2:8" s="48" customFormat="1" ht="31.5" customHeight="1" x14ac:dyDescent="0.25">
      <c r="B29" s="118" t="s">
        <v>85</v>
      </c>
      <c r="C29" s="119"/>
      <c r="D29" s="116" t="b">
        <v>0</v>
      </c>
      <c r="E29" s="117"/>
      <c r="F29" s="87" t="s">
        <v>86</v>
      </c>
      <c r="G29" s="116" t="b">
        <v>0</v>
      </c>
      <c r="H29" s="117"/>
    </row>
    <row r="30" spans="2:8" s="48" customFormat="1" ht="20.25" customHeight="1" x14ac:dyDescent="0.3">
      <c r="B30" s="113" t="s">
        <v>43</v>
      </c>
      <c r="C30" s="114"/>
      <c r="D30" s="114"/>
      <c r="E30" s="114"/>
      <c r="F30" s="114"/>
      <c r="G30" s="114"/>
      <c r="H30" s="115"/>
    </row>
    <row r="31" spans="2:8" s="48" customFormat="1" ht="28.5" customHeight="1" x14ac:dyDescent="0.25">
      <c r="B31" s="56" t="s">
        <v>44</v>
      </c>
      <c r="C31" s="120" t="s">
        <v>67</v>
      </c>
      <c r="D31" s="121"/>
      <c r="E31" s="121"/>
      <c r="F31" s="121"/>
      <c r="G31" s="121"/>
      <c r="H31" s="122"/>
    </row>
    <row r="32" spans="2:8" s="48" customFormat="1" ht="28.5" customHeight="1" x14ac:dyDescent="0.25">
      <c r="B32" s="56" t="s">
        <v>44</v>
      </c>
      <c r="C32" s="120" t="s">
        <v>80</v>
      </c>
      <c r="D32" s="121"/>
      <c r="E32" s="121"/>
      <c r="F32" s="121"/>
      <c r="G32" s="121"/>
      <c r="H32" s="122"/>
    </row>
    <row r="33" spans="2:8" s="48" customFormat="1" ht="28.5" customHeight="1" x14ac:dyDescent="0.25">
      <c r="B33" s="56" t="s">
        <v>44</v>
      </c>
      <c r="C33" s="120" t="s">
        <v>68</v>
      </c>
      <c r="D33" s="121"/>
      <c r="E33" s="121"/>
      <c r="F33" s="121"/>
      <c r="G33" s="121"/>
      <c r="H33" s="122"/>
    </row>
    <row r="34" spans="2:8" s="48" customFormat="1" ht="26.25" customHeight="1" x14ac:dyDescent="0.25">
      <c r="B34" s="56" t="s">
        <v>44</v>
      </c>
      <c r="C34" s="120" t="s">
        <v>69</v>
      </c>
      <c r="D34" s="121"/>
      <c r="E34" s="121"/>
      <c r="F34" s="121"/>
      <c r="G34" s="121"/>
      <c r="H34" s="122"/>
    </row>
    <row r="35" spans="2:8" s="48" customFormat="1" ht="26.25" customHeight="1" x14ac:dyDescent="0.25">
      <c r="B35" s="56" t="s">
        <v>44</v>
      </c>
      <c r="C35" s="120" t="s">
        <v>73</v>
      </c>
      <c r="D35" s="121"/>
      <c r="E35" s="121"/>
      <c r="F35" s="121"/>
      <c r="G35" s="121"/>
      <c r="H35" s="122"/>
    </row>
    <row r="36" spans="2:8" s="48" customFormat="1" ht="27" customHeight="1" x14ac:dyDescent="0.25">
      <c r="B36" s="56" t="s">
        <v>44</v>
      </c>
      <c r="C36" s="120" t="s">
        <v>74</v>
      </c>
      <c r="D36" s="121"/>
      <c r="E36" s="121"/>
      <c r="F36" s="121"/>
      <c r="G36" s="121"/>
      <c r="H36" s="122"/>
    </row>
    <row r="37" spans="2:8" s="48" customFormat="1" ht="39" customHeight="1" x14ac:dyDescent="0.25">
      <c r="B37" s="56"/>
      <c r="C37" s="120" t="s">
        <v>75</v>
      </c>
      <c r="D37" s="121"/>
      <c r="E37" s="121"/>
      <c r="F37" s="121"/>
      <c r="G37" s="121"/>
      <c r="H37" s="122"/>
    </row>
    <row r="38" spans="2:8" s="48" customFormat="1" ht="29.25" customHeight="1" x14ac:dyDescent="0.25">
      <c r="B38" s="56" t="s">
        <v>44</v>
      </c>
      <c r="C38" s="120" t="s">
        <v>76</v>
      </c>
      <c r="D38" s="121"/>
      <c r="E38" s="121"/>
      <c r="F38" s="121"/>
      <c r="G38" s="121"/>
      <c r="H38" s="122"/>
    </row>
    <row r="39" spans="2:8" s="48" customFormat="1" ht="25.5" customHeight="1" x14ac:dyDescent="0.25">
      <c r="B39" s="56" t="s">
        <v>44</v>
      </c>
      <c r="C39" s="120" t="s">
        <v>77</v>
      </c>
      <c r="D39" s="121"/>
      <c r="E39" s="121"/>
      <c r="F39" s="121"/>
      <c r="G39" s="121"/>
      <c r="H39" s="122"/>
    </row>
    <row r="40" spans="2:8" ht="24" customHeight="1" x14ac:dyDescent="0.3">
      <c r="B40" s="56" t="s">
        <v>44</v>
      </c>
      <c r="C40" s="120" t="s">
        <v>78</v>
      </c>
      <c r="D40" s="121"/>
      <c r="E40" s="121"/>
      <c r="F40" s="121"/>
      <c r="G40" s="121"/>
      <c r="H40" s="122"/>
    </row>
    <row r="41" spans="2:8" ht="25.5" customHeight="1" x14ac:dyDescent="0.3">
      <c r="B41" s="56" t="s">
        <v>44</v>
      </c>
      <c r="C41" s="120" t="s">
        <v>79</v>
      </c>
      <c r="D41" s="121"/>
      <c r="E41" s="121"/>
      <c r="F41" s="121"/>
      <c r="G41" s="121"/>
      <c r="H41" s="122"/>
    </row>
  </sheetData>
  <mergeCells count="49">
    <mergeCell ref="B28:C28"/>
    <mergeCell ref="B14:H14"/>
    <mergeCell ref="C15:H15"/>
    <mergeCell ref="C16:H16"/>
    <mergeCell ref="B13:C13"/>
    <mergeCell ref="D13:E13"/>
    <mergeCell ref="G13:H13"/>
    <mergeCell ref="B27:C27"/>
    <mergeCell ref="D27:E27"/>
    <mergeCell ref="G27:H27"/>
    <mergeCell ref="B19:C19"/>
    <mergeCell ref="B20:C20"/>
    <mergeCell ref="B21:H21"/>
    <mergeCell ref="B23:C23"/>
    <mergeCell ref="D23:E23"/>
    <mergeCell ref="B25:H25"/>
    <mergeCell ref="G3:H5"/>
    <mergeCell ref="G7:H7"/>
    <mergeCell ref="B9:C9"/>
    <mergeCell ref="D9:E9"/>
    <mergeCell ref="G9:H9"/>
    <mergeCell ref="B12:C12"/>
    <mergeCell ref="G10:H10"/>
    <mergeCell ref="B10:C10"/>
    <mergeCell ref="D10:E10"/>
    <mergeCell ref="D12:E12"/>
    <mergeCell ref="G12:H12"/>
    <mergeCell ref="D24:E24"/>
    <mergeCell ref="F23:F24"/>
    <mergeCell ref="G23:H24"/>
    <mergeCell ref="B24:C24"/>
    <mergeCell ref="F19:F20"/>
    <mergeCell ref="G19:H20"/>
    <mergeCell ref="D20:E20"/>
    <mergeCell ref="C41:H41"/>
    <mergeCell ref="C33:H33"/>
    <mergeCell ref="C31:H31"/>
    <mergeCell ref="C34:H34"/>
    <mergeCell ref="C32:H32"/>
    <mergeCell ref="C35:H35"/>
    <mergeCell ref="C36:H36"/>
    <mergeCell ref="C37:H37"/>
    <mergeCell ref="C38:H38"/>
    <mergeCell ref="C39:H39"/>
    <mergeCell ref="B30:H30"/>
    <mergeCell ref="G29:H29"/>
    <mergeCell ref="D29:E29"/>
    <mergeCell ref="B29:C29"/>
    <mergeCell ref="C40:H40"/>
  </mergeCells>
  <pageMargins left="0.70866141732283472" right="0.70866141732283472" top="0.74803149606299213" bottom="0.74803149606299213" header="0.31496062992125984" footer="0.31496062992125984"/>
  <pageSetup paperSize="9" scale="64"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81086-E255-41A2-8B3D-67C274F4DACC}">
  <dimension ref="A1:L114"/>
  <sheetViews>
    <sheetView workbookViewId="0">
      <selection activeCell="B2" sqref="B2"/>
    </sheetView>
  </sheetViews>
  <sheetFormatPr defaultRowHeight="15.75" x14ac:dyDescent="0.25"/>
  <cols>
    <col min="1" max="3" width="13.5" style="8" customWidth="1"/>
    <col min="4" max="5" width="28.875" style="8" customWidth="1"/>
    <col min="6" max="6" width="20.875" style="8" customWidth="1"/>
    <col min="7" max="7" width="15.375" style="8" customWidth="1"/>
    <col min="8" max="11" width="13.5" style="8" customWidth="1"/>
  </cols>
  <sheetData>
    <row r="1" spans="1:12" ht="18" x14ac:dyDescent="0.25">
      <c r="A1" s="2" t="s">
        <v>8</v>
      </c>
      <c r="B1" s="2"/>
      <c r="C1" s="2"/>
      <c r="D1" s="2" t="s">
        <v>29</v>
      </c>
      <c r="E1" s="2" t="s">
        <v>30</v>
      </c>
      <c r="F1" s="2" t="s">
        <v>31</v>
      </c>
      <c r="G1" s="2" t="s">
        <v>32</v>
      </c>
      <c r="H1" s="2"/>
      <c r="I1" s="2"/>
      <c r="J1" s="2"/>
      <c r="K1" s="2"/>
    </row>
    <row r="2" spans="1:12" ht="18" x14ac:dyDescent="0.25">
      <c r="A2" s="1">
        <v>1</v>
      </c>
      <c r="B2" s="1">
        <f>ROUNDUP('BOX ORDER'!H8,-1)</f>
        <v>1200</v>
      </c>
      <c r="C2" s="1">
        <f>ROUNDUP('BOX ORDER'!I8,-1)</f>
        <v>1200</v>
      </c>
      <c r="D2" s="3">
        <f>SUM((('BOX ORDER'!G8)/1000+0.15)*'BOX ORDER'!H8)*0.01083</f>
        <v>7.7975999999999992</v>
      </c>
      <c r="E2" s="3">
        <f>SUM((('BOX ORDER'!G8)/1000+0.15)*'BOX ORDER'!I8)*0.01083</f>
        <v>7.7975999999999992</v>
      </c>
      <c r="F2" s="3">
        <f>SUM((('BOX ORDER'!G8)/1000+0.15)*('BOX ORDER'!J8*100)*0.01083)</f>
        <v>0</v>
      </c>
      <c r="G2" s="1">
        <f>SUM(D2:F2)</f>
        <v>15.595199999999998</v>
      </c>
      <c r="H2" s="9"/>
      <c r="I2" s="1"/>
      <c r="J2" s="1"/>
      <c r="K2" s="4"/>
      <c r="L2">
        <f>'BOX ORDER'!H8-1</f>
        <v>1199</v>
      </c>
    </row>
    <row r="3" spans="1:12" ht="18" x14ac:dyDescent="0.25">
      <c r="A3" s="1">
        <v>2</v>
      </c>
      <c r="B3" s="1">
        <f>ROUNDUP('BOX ORDER'!H9,-1)</f>
        <v>0</v>
      </c>
      <c r="C3" s="1">
        <f>ROUNDUP('BOX ORDER'!I9,-1)</f>
        <v>0</v>
      </c>
      <c r="D3" s="3">
        <f>SUM((('BOX ORDER'!G9)/1000+0.15)*'BOX ORDER'!H9)*0.01083</f>
        <v>0</v>
      </c>
      <c r="E3" s="3">
        <f>SUM((('BOX ORDER'!G9)/1000+0.15)*'BOX ORDER'!I9)*0.01083</f>
        <v>0</v>
      </c>
      <c r="F3" s="3">
        <f>SUM((('BOX ORDER'!H9)/1000+0.15)*'BOX ORDER'!J9)*0.01083</f>
        <v>0</v>
      </c>
      <c r="G3" s="1">
        <f t="shared" ref="G3:G20" si="0">SUM(D3:F3)</f>
        <v>0</v>
      </c>
      <c r="H3" s="1"/>
      <c r="I3" s="1"/>
      <c r="J3" s="1"/>
      <c r="K3" s="4"/>
    </row>
    <row r="4" spans="1:12" ht="18" x14ac:dyDescent="0.25">
      <c r="A4" s="1">
        <v>3</v>
      </c>
      <c r="B4" s="1">
        <f>ROUNDUP('BOX ORDER'!H10,-1)</f>
        <v>0</v>
      </c>
      <c r="C4" s="1">
        <f>ROUNDUP('BOX ORDER'!I10,-1)</f>
        <v>0</v>
      </c>
      <c r="D4" s="3">
        <f>SUM((('BOX ORDER'!G10)/1000+0.15)*'BOX ORDER'!H10)*0.01083</f>
        <v>0</v>
      </c>
      <c r="E4" s="3">
        <f>SUM((('BOX ORDER'!G10)/1000+0.15)*'BOX ORDER'!I10)*0.01083</f>
        <v>0</v>
      </c>
      <c r="F4" s="3">
        <f>SUM((('BOX ORDER'!H10)/1000+0.15)*'BOX ORDER'!J10)*0.1083</f>
        <v>0</v>
      </c>
      <c r="G4" s="1">
        <f t="shared" si="0"/>
        <v>0</v>
      </c>
      <c r="H4" s="1"/>
      <c r="I4" s="1"/>
      <c r="J4" s="1"/>
      <c r="K4" s="4"/>
    </row>
    <row r="5" spans="1:12" ht="18" x14ac:dyDescent="0.25">
      <c r="A5" s="1">
        <v>4</v>
      </c>
      <c r="B5" s="1">
        <f>ROUNDUP('BOX ORDER'!H11,-1)</f>
        <v>0</v>
      </c>
      <c r="C5" s="1">
        <f>ROUNDUP('BOX ORDER'!I11,-1)</f>
        <v>0</v>
      </c>
      <c r="D5" s="3">
        <f>SUM((('BOX ORDER'!G11)/1000+0.15)*'BOX ORDER'!H11)*0.01083</f>
        <v>0</v>
      </c>
      <c r="E5" s="3">
        <f>SUM((('BOX ORDER'!G11)/1000+0.15)*'BOX ORDER'!I11)*0.01083</f>
        <v>0</v>
      </c>
      <c r="F5" s="3">
        <f>SUM((('BOX ORDER'!H11)/1000+0.15)*'BOX ORDER'!J11)*10.83</f>
        <v>0</v>
      </c>
      <c r="G5" s="1">
        <f t="shared" si="0"/>
        <v>0</v>
      </c>
      <c r="H5" s="1"/>
      <c r="I5" s="1"/>
      <c r="J5" s="1"/>
      <c r="K5" s="4"/>
    </row>
    <row r="6" spans="1:12" ht="18" x14ac:dyDescent="0.25">
      <c r="A6" s="1">
        <v>5</v>
      </c>
      <c r="B6" s="1">
        <f>ROUNDUP('BOX ORDER'!H12,-1)</f>
        <v>0</v>
      </c>
      <c r="C6" s="1">
        <f>ROUNDUP('BOX ORDER'!I12,-1)</f>
        <v>0</v>
      </c>
      <c r="D6" s="3">
        <f>SUM((('BOX ORDER'!G12)/1000+0.15)*'BOX ORDER'!H12)*0.01083</f>
        <v>0</v>
      </c>
      <c r="E6" s="3">
        <f>SUM((('BOX ORDER'!G12)/1000+0.15)*'BOX ORDER'!I12)*0.01083</f>
        <v>0</v>
      </c>
      <c r="F6" s="3">
        <f>SUM((('BOX ORDER'!H12)/1000+0.15)*'BOX ORDER'!J12)*10.83</f>
        <v>0</v>
      </c>
      <c r="G6" s="1">
        <f t="shared" si="0"/>
        <v>0</v>
      </c>
      <c r="H6" s="1"/>
      <c r="I6" s="1"/>
      <c r="J6" s="1"/>
      <c r="K6" s="4"/>
    </row>
    <row r="7" spans="1:12" ht="18" x14ac:dyDescent="0.25">
      <c r="A7" s="1">
        <v>6</v>
      </c>
      <c r="B7" s="1">
        <f>ROUNDUP('BOX ORDER'!H13,-1)</f>
        <v>0</v>
      </c>
      <c r="C7" s="1">
        <f>ROUNDUP('BOX ORDER'!I13,-1)</f>
        <v>0</v>
      </c>
      <c r="D7" s="3">
        <f>SUM((('BOX ORDER'!G13)/1000+0.15)*'BOX ORDER'!H13)*0.01083</f>
        <v>0</v>
      </c>
      <c r="E7" s="3">
        <f>SUM((('BOX ORDER'!G13)/1000+0.15)*'BOX ORDER'!I13)*0.01083</f>
        <v>0</v>
      </c>
      <c r="F7" s="3">
        <f>SUM((('BOX ORDER'!H13)/1000+0.15)*'BOX ORDER'!J13)*10.83</f>
        <v>0</v>
      </c>
      <c r="G7" s="1">
        <f t="shared" si="0"/>
        <v>0</v>
      </c>
      <c r="H7" s="1"/>
      <c r="I7" s="1"/>
      <c r="J7" s="1"/>
      <c r="K7" s="4"/>
    </row>
    <row r="8" spans="1:12" ht="18" x14ac:dyDescent="0.25">
      <c r="A8" s="1">
        <v>7</v>
      </c>
      <c r="B8" s="1">
        <f>ROUNDUP('BOX ORDER'!H14,-1)</f>
        <v>0</v>
      </c>
      <c r="C8" s="1">
        <f>ROUNDUP('BOX ORDER'!I14,-1)</f>
        <v>0</v>
      </c>
      <c r="D8" s="3">
        <f>SUM((('BOX ORDER'!G14)/1000+0.15)*'BOX ORDER'!H14)*0.01083</f>
        <v>0</v>
      </c>
      <c r="E8" s="3">
        <f>SUM((('BOX ORDER'!G14)/1000+0.15)*'BOX ORDER'!I14)*0.01083</f>
        <v>0</v>
      </c>
      <c r="F8" s="3">
        <f>SUM((('BOX ORDER'!H14)/1000+0.15)*'BOX ORDER'!J14)*10.83</f>
        <v>0</v>
      </c>
      <c r="G8" s="1">
        <f t="shared" si="0"/>
        <v>0</v>
      </c>
      <c r="H8" s="1"/>
      <c r="I8" s="1"/>
      <c r="J8" s="1"/>
      <c r="K8" s="4"/>
    </row>
    <row r="9" spans="1:12" ht="18" x14ac:dyDescent="0.25">
      <c r="A9" s="1">
        <v>8</v>
      </c>
      <c r="B9" s="1">
        <f>ROUNDUP('BOX ORDER'!H15,-1)</f>
        <v>0</v>
      </c>
      <c r="C9" s="1">
        <f>ROUNDUP('BOX ORDER'!I15,-1)</f>
        <v>0</v>
      </c>
      <c r="D9" s="3">
        <f>SUM((('BOX ORDER'!G15)/1000+0.15)*'BOX ORDER'!H15)*0.01083</f>
        <v>0</v>
      </c>
      <c r="E9" s="3">
        <f>SUM((('BOX ORDER'!G15)/1000+0.15)*'BOX ORDER'!I15)*0.01083</f>
        <v>0</v>
      </c>
      <c r="F9" s="3">
        <f>SUM((('BOX ORDER'!H15)/1000+0.15)*'BOX ORDER'!J15)*10.83</f>
        <v>0</v>
      </c>
      <c r="G9" s="1">
        <f t="shared" si="0"/>
        <v>0</v>
      </c>
      <c r="H9" s="1"/>
      <c r="I9" s="1"/>
      <c r="J9" s="1"/>
      <c r="K9" s="4"/>
    </row>
    <row r="10" spans="1:12" ht="18" x14ac:dyDescent="0.25">
      <c r="A10" s="1">
        <v>9</v>
      </c>
      <c r="B10" s="1">
        <f>ROUNDUP('BOX ORDER'!H16,-1)</f>
        <v>0</v>
      </c>
      <c r="C10" s="1">
        <f>ROUNDUP('BOX ORDER'!I16,-1)</f>
        <v>0</v>
      </c>
      <c r="D10" s="3">
        <f>SUM((('BOX ORDER'!F16)/1000+0.15)*'BOX ORDER'!H16)*0.01083</f>
        <v>0</v>
      </c>
      <c r="E10" s="3">
        <f>SUM((('BOX ORDER'!F16)/1000+0.15)*'BOX ORDER'!I16)*0.01083</f>
        <v>0</v>
      </c>
      <c r="F10" s="3">
        <f>SUM((('BOX ORDER'!H16)/1000+0.15)*'BOX ORDER'!J16)*10.83</f>
        <v>0</v>
      </c>
      <c r="G10" s="1">
        <f t="shared" si="0"/>
        <v>0</v>
      </c>
      <c r="H10" s="1"/>
      <c r="I10" s="1"/>
      <c r="J10" s="1"/>
      <c r="K10" s="4"/>
    </row>
    <row r="11" spans="1:12" ht="18" x14ac:dyDescent="0.25">
      <c r="A11" s="1">
        <v>10</v>
      </c>
      <c r="B11" s="1">
        <f>ROUNDUP('BOX ORDER'!H17,-1)</f>
        <v>0</v>
      </c>
      <c r="C11" s="1">
        <f>ROUNDUP('BOX ORDER'!I17,-1)</f>
        <v>0</v>
      </c>
      <c r="D11" s="3">
        <f>SUM((('BOX ORDER'!G17)/1000+0.15)*'BOX ORDER'!H17)*0.01083</f>
        <v>0</v>
      </c>
      <c r="E11" s="3">
        <f>SUM((('BOX ORDER'!G17)/1000+0.15)*'BOX ORDER'!I17)*0.01083</f>
        <v>0</v>
      </c>
      <c r="F11" s="3">
        <f>SUM((('BOX ORDER'!H17)/1000+0.15)*'BOX ORDER'!J17)*10.83</f>
        <v>0</v>
      </c>
      <c r="G11" s="1">
        <f t="shared" si="0"/>
        <v>0</v>
      </c>
      <c r="H11" s="1"/>
      <c r="I11" s="1"/>
      <c r="J11" s="1"/>
      <c r="K11" s="4"/>
    </row>
    <row r="12" spans="1:12" ht="18" x14ac:dyDescent="0.25">
      <c r="A12" s="1">
        <v>11</v>
      </c>
      <c r="B12" s="1">
        <f>ROUNDUP('BOX ORDER'!H18,-1)</f>
        <v>0</v>
      </c>
      <c r="C12" s="1">
        <f>ROUNDUP('BOX ORDER'!I18,-1)</f>
        <v>0</v>
      </c>
      <c r="D12" s="3">
        <f>SUM((('BOX ORDER'!G18)/1000+0.15)*'BOX ORDER'!H18)*0.01083</f>
        <v>0</v>
      </c>
      <c r="E12" s="3">
        <f>SUM((('BOX ORDER'!G18)/1000+0.15)*'BOX ORDER'!I18)*0.01083</f>
        <v>0</v>
      </c>
      <c r="F12" s="3">
        <f>SUM((('BOX ORDER'!H18)/1000+0.15)*'BOX ORDER'!J18)*10.83</f>
        <v>0</v>
      </c>
      <c r="G12" s="1">
        <f t="shared" si="0"/>
        <v>0</v>
      </c>
      <c r="H12" s="1"/>
      <c r="I12" s="1"/>
      <c r="J12" s="1"/>
      <c r="K12" s="4"/>
    </row>
    <row r="13" spans="1:12" ht="18" x14ac:dyDescent="0.25">
      <c r="A13" s="1">
        <v>12</v>
      </c>
      <c r="B13" s="1">
        <f>ROUNDUP('BOX ORDER'!H19,-1)</f>
        <v>0</v>
      </c>
      <c r="C13" s="1">
        <f>ROUNDUP('BOX ORDER'!I19,-1)</f>
        <v>0</v>
      </c>
      <c r="D13" s="3">
        <f>SUM((('BOX ORDER'!G19)/1000+0.15)*'BOX ORDER'!H19)*0.01083</f>
        <v>0</v>
      </c>
      <c r="E13" s="3">
        <f>SUM((('BOX ORDER'!G19)/1000+0.15)*'BOX ORDER'!I19)*0.01083</f>
        <v>0</v>
      </c>
      <c r="F13" s="3">
        <f>SUM((('BOX ORDER'!H19)/1000+0.15)*'BOX ORDER'!J19)*10.83</f>
        <v>0</v>
      </c>
      <c r="G13" s="1">
        <f t="shared" si="0"/>
        <v>0</v>
      </c>
      <c r="H13" s="1"/>
      <c r="I13" s="1"/>
      <c r="J13" s="1"/>
      <c r="K13" s="4"/>
    </row>
    <row r="14" spans="1:12" ht="18" x14ac:dyDescent="0.25">
      <c r="A14" s="1">
        <v>13</v>
      </c>
      <c r="B14" s="1">
        <f>ROUNDUP('BOX ORDER'!H20,-1)</f>
        <v>0</v>
      </c>
      <c r="C14" s="1">
        <f>ROUNDUP('BOX ORDER'!I20,-1)</f>
        <v>0</v>
      </c>
      <c r="D14" s="3">
        <f>SUM((('BOX ORDER'!G20)/1000+0.15)*'BOX ORDER'!H20)*0.01083</f>
        <v>0</v>
      </c>
      <c r="E14" s="3">
        <f>SUM((('BOX ORDER'!G20)/1000+0.15)*'BOX ORDER'!I20)*0.01083</f>
        <v>0</v>
      </c>
      <c r="F14" s="3">
        <f>SUM((('BOX ORDER'!H20)/1000+0.15)*'BOX ORDER'!J20)*10.83</f>
        <v>0</v>
      </c>
      <c r="G14" s="1">
        <f t="shared" si="0"/>
        <v>0</v>
      </c>
      <c r="H14" s="1"/>
      <c r="I14" s="1"/>
      <c r="J14" s="1"/>
      <c r="K14" s="4"/>
    </row>
    <row r="15" spans="1:12" ht="18" x14ac:dyDescent="0.25">
      <c r="A15" s="1">
        <v>14</v>
      </c>
      <c r="B15" s="1">
        <f>ROUNDUP('BOX ORDER'!H21,-1)</f>
        <v>0</v>
      </c>
      <c r="C15" s="1">
        <f>ROUNDUP('BOX ORDER'!I21,-1)</f>
        <v>0</v>
      </c>
      <c r="D15" s="3">
        <f>SUM((('BOX ORDER'!G21)/1000+0.15)*'BOX ORDER'!H21)*0.01083</f>
        <v>0</v>
      </c>
      <c r="E15" s="3">
        <f>SUM((('BOX ORDER'!G21)/1000+0.15)*'BOX ORDER'!I21)*0.01083</f>
        <v>0</v>
      </c>
      <c r="F15" s="3">
        <f>SUM((('BOX ORDER'!H21)/1000+0.15)*'BOX ORDER'!J21)*10.83</f>
        <v>0</v>
      </c>
      <c r="G15" s="1">
        <f t="shared" si="0"/>
        <v>0</v>
      </c>
      <c r="H15" s="1"/>
      <c r="I15" s="1"/>
      <c r="J15" s="1"/>
      <c r="K15" s="4"/>
    </row>
    <row r="16" spans="1:12" ht="18" x14ac:dyDescent="0.25">
      <c r="A16" s="1">
        <v>15</v>
      </c>
      <c r="B16" s="1">
        <f>ROUNDUP('BOX ORDER'!H22,-1)</f>
        <v>0</v>
      </c>
      <c r="C16" s="1">
        <f>ROUNDUP('BOX ORDER'!I22,-1)</f>
        <v>0</v>
      </c>
      <c r="D16" s="3">
        <f>SUM((('BOX ORDER'!G22)/1000+0.15)*'BOX ORDER'!H22)*0.01083</f>
        <v>0</v>
      </c>
      <c r="E16" s="3">
        <f>SUM((('BOX ORDER'!G22)/1000+0.15)*'BOX ORDER'!I22)*0.01083</f>
        <v>0</v>
      </c>
      <c r="F16" s="3">
        <f>SUM((('BOX ORDER'!H22)/1000+0.15)*'BOX ORDER'!J22)*10.83</f>
        <v>0</v>
      </c>
      <c r="G16" s="1">
        <f t="shared" si="0"/>
        <v>0</v>
      </c>
      <c r="H16" s="1"/>
      <c r="I16" s="1"/>
      <c r="J16" s="1"/>
      <c r="K16" s="4"/>
    </row>
    <row r="17" spans="1:11" ht="18" x14ac:dyDescent="0.25">
      <c r="A17" s="1">
        <v>16</v>
      </c>
      <c r="B17" s="1">
        <f>ROUNDUP('BOX ORDER'!H23,-1)</f>
        <v>0</v>
      </c>
      <c r="C17" s="1">
        <f>ROUNDUP('BOX ORDER'!I23,-1)</f>
        <v>0</v>
      </c>
      <c r="D17" s="3">
        <f>SUM((('BOX ORDER'!G23)/1000+0.15)*'BOX ORDER'!H23)*0.01083</f>
        <v>0</v>
      </c>
      <c r="E17" s="3">
        <f>SUM((('BOX ORDER'!G23)/1000+0.15)*'BOX ORDER'!I23)*0.01083</f>
        <v>0</v>
      </c>
      <c r="F17" s="3">
        <f>SUM((('BOX ORDER'!H23)/1000+0.15)*'BOX ORDER'!J23)*10.83</f>
        <v>0</v>
      </c>
      <c r="G17" s="1">
        <f t="shared" si="0"/>
        <v>0</v>
      </c>
      <c r="H17" s="1"/>
      <c r="I17" s="1"/>
      <c r="J17" s="1"/>
      <c r="K17" s="4"/>
    </row>
    <row r="18" spans="1:11" ht="18" x14ac:dyDescent="0.25">
      <c r="A18" s="1">
        <v>17</v>
      </c>
      <c r="B18" s="1">
        <f>ROUNDUP('BOX ORDER'!H24,-1)</f>
        <v>0</v>
      </c>
      <c r="C18" s="1">
        <f>ROUNDUP('BOX ORDER'!I24,-1)</f>
        <v>0</v>
      </c>
      <c r="D18" s="3">
        <f>SUM((('BOX ORDER'!G24)/1000+0.15)*'BOX ORDER'!H24)*0.01083</f>
        <v>0</v>
      </c>
      <c r="E18" s="3">
        <f>SUM((('BOX ORDER'!G24)/1000+0.15)*'BOX ORDER'!I24)*0.01083</f>
        <v>0</v>
      </c>
      <c r="F18" s="3">
        <f>SUM((('BOX ORDER'!H24)/1000+0.15)*'BOX ORDER'!J24)*10.83</f>
        <v>0</v>
      </c>
      <c r="G18" s="1">
        <f t="shared" si="0"/>
        <v>0</v>
      </c>
      <c r="H18" s="1"/>
      <c r="I18" s="1"/>
      <c r="J18" s="1"/>
      <c r="K18" s="4"/>
    </row>
    <row r="19" spans="1:11" ht="18" x14ac:dyDescent="0.25">
      <c r="A19" s="1">
        <v>18</v>
      </c>
      <c r="B19" s="1">
        <f>ROUNDUP('BOX ORDER'!H25,-1)</f>
        <v>0</v>
      </c>
      <c r="C19" s="1">
        <f>ROUNDUP('BOX ORDER'!I25,-1)</f>
        <v>0</v>
      </c>
      <c r="D19" s="3">
        <f>SUM((('BOX ORDER'!G25)/1000+0.15)*'BOX ORDER'!H25)*0.01083</f>
        <v>0</v>
      </c>
      <c r="E19" s="3">
        <f>SUM((('BOX ORDER'!G25)/1000+0.15)*'BOX ORDER'!I25)*0.01083</f>
        <v>0</v>
      </c>
      <c r="F19" s="3">
        <f>SUM((('BOX ORDER'!H25)/1000+0.15)*'BOX ORDER'!J25)*10.83</f>
        <v>0</v>
      </c>
      <c r="G19" s="1">
        <f t="shared" si="0"/>
        <v>0</v>
      </c>
      <c r="H19" s="1"/>
      <c r="I19" s="1"/>
      <c r="J19" s="1"/>
      <c r="K19" s="4"/>
    </row>
    <row r="20" spans="1:11" ht="18" x14ac:dyDescent="0.25">
      <c r="A20" s="1">
        <v>19</v>
      </c>
      <c r="B20" s="1">
        <f>ROUNDUP('BOX ORDER'!H26,-1)</f>
        <v>0</v>
      </c>
      <c r="C20" s="1">
        <f>ROUNDUP('BOX ORDER'!I26,-1)</f>
        <v>0</v>
      </c>
      <c r="D20" s="3">
        <f>SUM((('BOX ORDER'!G26)/1000+0.15)*'BOX ORDER'!H26)*0.01083</f>
        <v>0</v>
      </c>
      <c r="E20" s="3">
        <f>SUM((('BOX ORDER'!G26)/1000+0.15)*'BOX ORDER'!I26)*0.01083</f>
        <v>0</v>
      </c>
      <c r="F20" s="3">
        <f>SUM((('BOX ORDER'!H26)/1000+0.15)*'BOX ORDER'!J26)*10.83</f>
        <v>0</v>
      </c>
      <c r="G20" s="1">
        <f t="shared" si="0"/>
        <v>0</v>
      </c>
      <c r="H20" s="1"/>
      <c r="I20" s="1"/>
      <c r="J20" s="1"/>
      <c r="K20" s="4"/>
    </row>
    <row r="21" spans="1:11" ht="18" x14ac:dyDescent="0.25">
      <c r="A21" s="1">
        <v>20</v>
      </c>
      <c r="B21" s="1">
        <f>ROUNDUP('BOX ORDER'!H27,-1)</f>
        <v>0</v>
      </c>
      <c r="C21" s="1">
        <f>ROUNDUP('BOX ORDER'!I27,-1)</f>
        <v>0</v>
      </c>
      <c r="D21" s="3">
        <f>SUM((('BOX ORDER'!G27)/1000+0.15)*'BOX ORDER'!H27)*0.01083</f>
        <v>0</v>
      </c>
      <c r="E21" s="3">
        <f>SUM((('BOX ORDER'!G27)/1000+0.15)*'BOX ORDER'!I27)*0.01083</f>
        <v>0</v>
      </c>
      <c r="F21" s="3">
        <f>SUM((('BOX ORDER'!H27)/1000+0.15)*'BOX ORDER'!J27)*10.83</f>
        <v>0</v>
      </c>
      <c r="G21" s="1">
        <f t="shared" ref="G21:G84" si="1">SUM(D21:F21)</f>
        <v>0</v>
      </c>
      <c r="H21" s="1"/>
      <c r="I21" s="1"/>
      <c r="J21" s="1"/>
      <c r="K21" s="4"/>
    </row>
    <row r="22" spans="1:11" ht="18" x14ac:dyDescent="0.25">
      <c r="A22" s="1">
        <v>21</v>
      </c>
      <c r="B22" s="1">
        <f>ROUNDUP('BOX ORDER'!H28,-1)</f>
        <v>0</v>
      </c>
      <c r="C22" s="1">
        <f>ROUNDUP('BOX ORDER'!I28,-1)</f>
        <v>0</v>
      </c>
      <c r="D22" s="3">
        <f>SUM((('BOX ORDER'!G28)/1000+0.15)*'BOX ORDER'!H28)*0.01083</f>
        <v>0</v>
      </c>
      <c r="E22" s="3">
        <f>SUM((('BOX ORDER'!G28)/1000+0.15)*'BOX ORDER'!I28)*0.01083</f>
        <v>0</v>
      </c>
      <c r="F22" s="3">
        <f>SUM((('BOX ORDER'!H28)/1000+0.15)*'BOX ORDER'!J28)*10.83</f>
        <v>0</v>
      </c>
      <c r="G22" s="1">
        <f t="shared" si="1"/>
        <v>0</v>
      </c>
      <c r="H22" s="1"/>
      <c r="I22" s="1"/>
      <c r="J22" s="1"/>
      <c r="K22" s="4"/>
    </row>
    <row r="23" spans="1:11" ht="18" x14ac:dyDescent="0.25">
      <c r="A23" s="1">
        <v>22</v>
      </c>
      <c r="B23" s="1">
        <f>ROUNDUP('BOX ORDER'!H29,-1)</f>
        <v>0</v>
      </c>
      <c r="C23" s="1">
        <f>ROUNDUP('BOX ORDER'!I29,-1)</f>
        <v>0</v>
      </c>
      <c r="D23" s="3">
        <f>SUM((('BOX ORDER'!G29)/1000+0.15)*'BOX ORDER'!H29)*0.01083</f>
        <v>0</v>
      </c>
      <c r="E23" s="3">
        <f>SUM((('BOX ORDER'!G29)/1000+0.15)*'BOX ORDER'!I29)*0.01083</f>
        <v>0</v>
      </c>
      <c r="F23" s="3">
        <f>SUM((('BOX ORDER'!H29)/1000+0.15)*'BOX ORDER'!J29)*10.83</f>
        <v>0</v>
      </c>
      <c r="G23" s="1">
        <f t="shared" si="1"/>
        <v>0</v>
      </c>
      <c r="H23" s="1"/>
      <c r="I23" s="1"/>
      <c r="J23" s="1"/>
      <c r="K23" s="4"/>
    </row>
    <row r="24" spans="1:11" ht="18" x14ac:dyDescent="0.25">
      <c r="A24" s="1">
        <v>23</v>
      </c>
      <c r="B24" s="1">
        <f>ROUNDUP('BOX ORDER'!H30,-1)</f>
        <v>0</v>
      </c>
      <c r="C24" s="1">
        <f>ROUNDUP('BOX ORDER'!I30,-1)</f>
        <v>0</v>
      </c>
      <c r="D24" s="3">
        <f>SUM((('BOX ORDER'!G30)/1000+0.15)*'BOX ORDER'!H30)*0.01083</f>
        <v>0</v>
      </c>
      <c r="E24" s="3">
        <f>SUM((('BOX ORDER'!G30)/1000+0.15)*'BOX ORDER'!I30)*0.01083</f>
        <v>0</v>
      </c>
      <c r="F24" s="3">
        <f>SUM((('BOX ORDER'!H30)/1000+0.15)*'BOX ORDER'!J30)*10.83</f>
        <v>0</v>
      </c>
      <c r="G24" s="1">
        <f t="shared" si="1"/>
        <v>0</v>
      </c>
      <c r="H24" s="1"/>
      <c r="I24" s="1"/>
      <c r="J24" s="1"/>
      <c r="K24" s="4"/>
    </row>
    <row r="25" spans="1:11" ht="18" x14ac:dyDescent="0.25">
      <c r="A25" s="1">
        <v>24</v>
      </c>
      <c r="B25" s="1">
        <f>ROUNDUP('BOX ORDER'!H31,-1)</f>
        <v>0</v>
      </c>
      <c r="C25" s="1">
        <f>ROUNDUP('BOX ORDER'!I31,-1)</f>
        <v>0</v>
      </c>
      <c r="D25" s="3">
        <f>SUM((('BOX ORDER'!G31)/1000+0.15)*'BOX ORDER'!H31)*0.01083</f>
        <v>0</v>
      </c>
      <c r="E25" s="3">
        <f>SUM((('BOX ORDER'!G31)/1000+0.15)*'BOX ORDER'!I31)*0.01083</f>
        <v>0</v>
      </c>
      <c r="F25" s="3">
        <f>SUM((('BOX ORDER'!H31)/1000+0.15)*'BOX ORDER'!J31)*10.83</f>
        <v>0</v>
      </c>
      <c r="G25" s="1">
        <f t="shared" si="1"/>
        <v>0</v>
      </c>
      <c r="H25" s="1"/>
      <c r="I25" s="1"/>
      <c r="J25" s="1"/>
      <c r="K25" s="4"/>
    </row>
    <row r="26" spans="1:11" ht="18" x14ac:dyDescent="0.25">
      <c r="A26" s="1">
        <v>25</v>
      </c>
      <c r="B26" s="1">
        <f>ROUNDUP('BOX ORDER'!H32,-1)</f>
        <v>0</v>
      </c>
      <c r="C26" s="1">
        <f>ROUNDUP('BOX ORDER'!I32,-1)</f>
        <v>0</v>
      </c>
      <c r="D26" s="3">
        <f>SUM((('BOX ORDER'!G32)/1000+0.15)*'BOX ORDER'!H32)*0.01083</f>
        <v>0</v>
      </c>
      <c r="E26" s="3">
        <f>SUM((('BOX ORDER'!G32)/1000+0.15)*'BOX ORDER'!I32)*0.01083</f>
        <v>0</v>
      </c>
      <c r="F26" s="3">
        <f>SUM((('BOX ORDER'!H32)/1000+0.15)*'BOX ORDER'!J32)*10.83</f>
        <v>0</v>
      </c>
      <c r="G26" s="1">
        <f t="shared" si="1"/>
        <v>0</v>
      </c>
      <c r="H26" s="1"/>
      <c r="I26" s="1"/>
      <c r="J26" s="1"/>
      <c r="K26" s="4"/>
    </row>
    <row r="27" spans="1:11" ht="18" x14ac:dyDescent="0.25">
      <c r="A27" s="1">
        <v>26</v>
      </c>
      <c r="B27" s="1">
        <f>ROUNDUP('BOX ORDER'!H33,-1)</f>
        <v>0</v>
      </c>
      <c r="C27" s="1">
        <f>ROUNDUP('BOX ORDER'!I33,-1)</f>
        <v>0</v>
      </c>
      <c r="D27" s="3">
        <f>SUM((('BOX ORDER'!G33)/1000+0.15)*'BOX ORDER'!H33)*0.01083</f>
        <v>0</v>
      </c>
      <c r="E27" s="3">
        <f>SUM((('BOX ORDER'!G33)/1000+0.15)*'BOX ORDER'!I33)*0.01083</f>
        <v>0</v>
      </c>
      <c r="F27" s="3">
        <f>SUM((('BOX ORDER'!H33)/1000+0.15)*'BOX ORDER'!J33)*10.83</f>
        <v>0</v>
      </c>
      <c r="G27" s="1">
        <f t="shared" si="1"/>
        <v>0</v>
      </c>
      <c r="H27" s="1"/>
      <c r="I27" s="1"/>
      <c r="J27" s="1"/>
      <c r="K27" s="4"/>
    </row>
    <row r="28" spans="1:11" ht="18" x14ac:dyDescent="0.25">
      <c r="A28" s="1">
        <v>27</v>
      </c>
      <c r="B28" s="1">
        <f>ROUNDUP('BOX ORDER'!H34,-1)</f>
        <v>0</v>
      </c>
      <c r="C28" s="1">
        <f>ROUNDUP('BOX ORDER'!I34,-1)</f>
        <v>0</v>
      </c>
      <c r="D28" s="3">
        <f>SUM((('BOX ORDER'!G34)/1000+0.15)*'BOX ORDER'!H34)*0.01083</f>
        <v>0</v>
      </c>
      <c r="E28" s="3">
        <f>SUM((('BOX ORDER'!G34)/1000+0.15)*'BOX ORDER'!I34)*0.01083</f>
        <v>0</v>
      </c>
      <c r="F28" s="3">
        <f>SUM((('BOX ORDER'!H34)/1000+0.15)*'BOX ORDER'!J34)*10.83</f>
        <v>0</v>
      </c>
      <c r="G28" s="1">
        <f t="shared" si="1"/>
        <v>0</v>
      </c>
      <c r="H28" s="1"/>
      <c r="I28" s="1"/>
      <c r="J28" s="1"/>
      <c r="K28" s="4"/>
    </row>
    <row r="29" spans="1:11" ht="18" x14ac:dyDescent="0.25">
      <c r="A29" s="1">
        <v>28</v>
      </c>
      <c r="B29" s="1">
        <f>ROUNDUP('BOX ORDER'!H35,-1)</f>
        <v>0</v>
      </c>
      <c r="C29" s="1">
        <f>ROUNDUP('BOX ORDER'!I35,-1)</f>
        <v>0</v>
      </c>
      <c r="D29" s="3">
        <f>SUM((('BOX ORDER'!G35)/1000+0.15)*'BOX ORDER'!H35)*0.01083</f>
        <v>0</v>
      </c>
      <c r="E29" s="3">
        <f>SUM((('BOX ORDER'!G35)/1000+0.15)*'BOX ORDER'!I35)*0.01083</f>
        <v>0</v>
      </c>
      <c r="F29" s="3">
        <f>SUM((('BOX ORDER'!H35)/1000+0.15)*'BOX ORDER'!J35)*10.83</f>
        <v>0</v>
      </c>
      <c r="G29" s="1">
        <f t="shared" si="1"/>
        <v>0</v>
      </c>
      <c r="H29" s="1"/>
      <c r="I29" s="1"/>
      <c r="J29" s="1"/>
      <c r="K29" s="4"/>
    </row>
    <row r="30" spans="1:11" ht="18" x14ac:dyDescent="0.25">
      <c r="A30" s="1">
        <v>29</v>
      </c>
      <c r="B30" s="1">
        <f>ROUNDUP('BOX ORDER'!H36,-1)</f>
        <v>0</v>
      </c>
      <c r="C30" s="1">
        <f>ROUNDUP('BOX ORDER'!I36,-1)</f>
        <v>0</v>
      </c>
      <c r="D30" s="3">
        <f>SUM((('BOX ORDER'!G36)/1000+0.15)*'BOX ORDER'!H36)*0.01083</f>
        <v>0</v>
      </c>
      <c r="E30" s="3">
        <f>SUM((('BOX ORDER'!G36)/1000+0.15)*'BOX ORDER'!I36)*0.01083</f>
        <v>0</v>
      </c>
      <c r="F30" s="3">
        <f>SUM((('BOX ORDER'!H36)/1000+0.15)*'BOX ORDER'!J36)*10.83</f>
        <v>0</v>
      </c>
      <c r="G30" s="1">
        <f t="shared" si="1"/>
        <v>0</v>
      </c>
      <c r="H30" s="1"/>
      <c r="I30" s="1"/>
      <c r="J30" s="1"/>
      <c r="K30" s="4"/>
    </row>
    <row r="31" spans="1:11" ht="18" x14ac:dyDescent="0.25">
      <c r="A31" s="1">
        <v>30</v>
      </c>
      <c r="B31" s="1">
        <f>ROUNDUP('BOX ORDER'!H37,-1)</f>
        <v>0</v>
      </c>
      <c r="C31" s="1">
        <f>ROUNDUP('BOX ORDER'!I37,-1)</f>
        <v>0</v>
      </c>
      <c r="D31" s="3">
        <f>SUM((('BOX ORDER'!G37)/1000+0.15)*'BOX ORDER'!H37)*0.01083</f>
        <v>0</v>
      </c>
      <c r="E31" s="3">
        <f>SUM((('BOX ORDER'!G37)/1000+0.15)*'BOX ORDER'!I37)*0.01083</f>
        <v>0</v>
      </c>
      <c r="F31" s="3">
        <f>SUM((('BOX ORDER'!H37)/1000+0.15)*'BOX ORDER'!J37)*10.83</f>
        <v>0</v>
      </c>
      <c r="G31" s="1">
        <f t="shared" si="1"/>
        <v>0</v>
      </c>
      <c r="H31" s="1"/>
      <c r="I31" s="1"/>
      <c r="J31" s="1"/>
      <c r="K31" s="4"/>
    </row>
    <row r="32" spans="1:11" ht="18" x14ac:dyDescent="0.25">
      <c r="A32" s="1">
        <v>31</v>
      </c>
      <c r="B32" s="1">
        <f>ROUNDUP('BOX ORDER'!H38,-1)</f>
        <v>0</v>
      </c>
      <c r="C32" s="1">
        <f>ROUNDUP('BOX ORDER'!I38,-1)</f>
        <v>0</v>
      </c>
      <c r="D32" s="3">
        <f>SUM((('BOX ORDER'!G38)/1000+0.15)*'BOX ORDER'!H38)*0.01083</f>
        <v>0</v>
      </c>
      <c r="E32" s="3">
        <f>SUM((('BOX ORDER'!G38)/1000+0.15)*'BOX ORDER'!I38)*0.01083</f>
        <v>0</v>
      </c>
      <c r="F32" s="3">
        <f>SUM((('BOX ORDER'!H38)/1000+0.15)*'BOX ORDER'!J38)*10.83</f>
        <v>0</v>
      </c>
      <c r="G32" s="1">
        <f t="shared" si="1"/>
        <v>0</v>
      </c>
      <c r="H32" s="1"/>
      <c r="I32" s="1"/>
      <c r="J32" s="1"/>
      <c r="K32" s="4"/>
    </row>
    <row r="33" spans="1:11" ht="18" x14ac:dyDescent="0.25">
      <c r="A33" s="1">
        <v>32</v>
      </c>
      <c r="B33" s="1">
        <f>ROUNDUP('BOX ORDER'!H39,-1)</f>
        <v>0</v>
      </c>
      <c r="C33" s="1">
        <f>ROUNDUP('BOX ORDER'!I39,-1)</f>
        <v>0</v>
      </c>
      <c r="D33" s="3">
        <f>SUM((('BOX ORDER'!G39)/1000+0.15)*'BOX ORDER'!H39)*0.01083</f>
        <v>0</v>
      </c>
      <c r="E33" s="3">
        <f>SUM((('BOX ORDER'!G39)/1000+0.15)*'BOX ORDER'!I39)*0.01083</f>
        <v>0</v>
      </c>
      <c r="F33" s="3">
        <f>SUM((('BOX ORDER'!H39)/1000+0.15)*'BOX ORDER'!J39)*10.83</f>
        <v>0</v>
      </c>
      <c r="G33" s="1">
        <f t="shared" si="1"/>
        <v>0</v>
      </c>
      <c r="H33" s="1"/>
      <c r="I33" s="1"/>
      <c r="J33" s="1"/>
      <c r="K33" s="4"/>
    </row>
    <row r="34" spans="1:11" ht="18" x14ac:dyDescent="0.25">
      <c r="A34" s="1">
        <v>33</v>
      </c>
      <c r="B34" s="1">
        <f>ROUNDUP('BOX ORDER'!H40,-1)</f>
        <v>0</v>
      </c>
      <c r="C34" s="1">
        <f>ROUNDUP('BOX ORDER'!I40,-1)</f>
        <v>0</v>
      </c>
      <c r="D34" s="3">
        <f>SUM((('BOX ORDER'!G40)/1000+0.15)*'BOX ORDER'!H40)*0.01083</f>
        <v>0</v>
      </c>
      <c r="E34" s="3">
        <f>SUM((('BOX ORDER'!G40)/1000+0.15)*'BOX ORDER'!I40)*0.01083</f>
        <v>0</v>
      </c>
      <c r="F34" s="3">
        <f>SUM((('BOX ORDER'!H40)/1000+0.15)*'BOX ORDER'!J40)*10.83</f>
        <v>0</v>
      </c>
      <c r="G34" s="1">
        <f t="shared" si="1"/>
        <v>0</v>
      </c>
      <c r="H34" s="1"/>
      <c r="I34" s="1"/>
      <c r="J34" s="1"/>
      <c r="K34" s="4"/>
    </row>
    <row r="35" spans="1:11" ht="18" x14ac:dyDescent="0.25">
      <c r="A35" s="1">
        <v>34</v>
      </c>
      <c r="B35" s="1">
        <f>ROUNDUP('BOX ORDER'!H41,-1)</f>
        <v>0</v>
      </c>
      <c r="C35" s="1">
        <f>ROUNDUP('BOX ORDER'!I41,-1)</f>
        <v>0</v>
      </c>
      <c r="D35" s="3">
        <f>SUM((('BOX ORDER'!G41)/1000+0.15)*'BOX ORDER'!H41)*0.01083</f>
        <v>0</v>
      </c>
      <c r="E35" s="3">
        <f>SUM((('BOX ORDER'!G41)/1000+0.15)*'BOX ORDER'!I41)*0.01083</f>
        <v>0</v>
      </c>
      <c r="F35" s="3">
        <f>SUM((('BOX ORDER'!H41)/1000+0.15)*'BOX ORDER'!J41)*10.83</f>
        <v>0</v>
      </c>
      <c r="G35" s="1">
        <f t="shared" si="1"/>
        <v>0</v>
      </c>
      <c r="H35" s="1"/>
      <c r="I35" s="1"/>
      <c r="J35" s="1"/>
      <c r="K35" s="4"/>
    </row>
    <row r="36" spans="1:11" ht="18" x14ac:dyDescent="0.25">
      <c r="A36" s="1">
        <v>35</v>
      </c>
      <c r="B36" s="1">
        <f>ROUNDUP('BOX ORDER'!H42,-1)</f>
        <v>0</v>
      </c>
      <c r="C36" s="1">
        <f>ROUNDUP('BOX ORDER'!I42,-1)</f>
        <v>0</v>
      </c>
      <c r="D36" s="3">
        <f>SUM((('BOX ORDER'!G42)/1000+0.15)*'BOX ORDER'!H42)*0.01083</f>
        <v>0</v>
      </c>
      <c r="E36" s="3">
        <f>SUM((('BOX ORDER'!G42)/1000+0.15)*'BOX ORDER'!I42)*0.01083</f>
        <v>0</v>
      </c>
      <c r="F36" s="3">
        <f>SUM((('BOX ORDER'!H42)/1000+0.15)*'BOX ORDER'!J42)*10.83</f>
        <v>0</v>
      </c>
      <c r="G36" s="1">
        <f t="shared" si="1"/>
        <v>0</v>
      </c>
      <c r="H36" s="1"/>
      <c r="I36" s="1"/>
      <c r="J36" s="1"/>
      <c r="K36" s="4"/>
    </row>
    <row r="37" spans="1:11" ht="18" x14ac:dyDescent="0.25">
      <c r="A37" s="1">
        <v>36</v>
      </c>
      <c r="B37" s="1">
        <f>ROUNDUP('BOX ORDER'!H43,-1)</f>
        <v>0</v>
      </c>
      <c r="C37" s="1">
        <f>ROUNDUP('BOX ORDER'!I43,-1)</f>
        <v>0</v>
      </c>
      <c r="D37" s="3">
        <f>SUM((('BOX ORDER'!G43)/1000+0.15)*'BOX ORDER'!H43)*0.01083</f>
        <v>0</v>
      </c>
      <c r="E37" s="3">
        <f>SUM((('BOX ORDER'!G43)/1000+0.15)*'BOX ORDER'!I43)*0.01083</f>
        <v>0</v>
      </c>
      <c r="F37" s="3">
        <f>SUM((('BOX ORDER'!H43)/1000+0.15)*'BOX ORDER'!J43)*10.83</f>
        <v>0</v>
      </c>
      <c r="G37" s="1">
        <f t="shared" si="1"/>
        <v>0</v>
      </c>
      <c r="H37" s="1"/>
      <c r="I37" s="1"/>
      <c r="J37" s="1"/>
      <c r="K37" s="4"/>
    </row>
    <row r="38" spans="1:11" ht="18" x14ac:dyDescent="0.25">
      <c r="A38" s="1">
        <v>37</v>
      </c>
      <c r="B38" s="1">
        <f>ROUNDUP('BOX ORDER'!H44,-1)</f>
        <v>0</v>
      </c>
      <c r="C38" s="1">
        <f>ROUNDUP('BOX ORDER'!I44,-1)</f>
        <v>0</v>
      </c>
      <c r="D38" s="3">
        <f>SUM((('BOX ORDER'!G44)/1000+0.15)*'BOX ORDER'!H44)*0.01083</f>
        <v>0</v>
      </c>
      <c r="E38" s="3">
        <f>SUM((('BOX ORDER'!G44)/1000+0.15)*'BOX ORDER'!I44)*0.01083</f>
        <v>0</v>
      </c>
      <c r="F38" s="3">
        <f>SUM((('BOX ORDER'!H44)/1000+0.15)*'BOX ORDER'!J44)*10.83</f>
        <v>0</v>
      </c>
      <c r="G38" s="1">
        <f t="shared" si="1"/>
        <v>0</v>
      </c>
      <c r="H38" s="1"/>
      <c r="I38" s="1"/>
      <c r="J38" s="1"/>
      <c r="K38" s="4"/>
    </row>
    <row r="39" spans="1:11" ht="18" x14ac:dyDescent="0.25">
      <c r="A39" s="1">
        <v>38</v>
      </c>
      <c r="B39" s="1">
        <f>ROUNDUP('BOX ORDER'!H45,-1)</f>
        <v>0</v>
      </c>
      <c r="C39" s="1">
        <f>ROUNDUP('BOX ORDER'!I45,-1)</f>
        <v>0</v>
      </c>
      <c r="D39" s="3">
        <f>SUM((('BOX ORDER'!G45)/1000+0.15)*'BOX ORDER'!H45)*0.01083</f>
        <v>0</v>
      </c>
      <c r="E39" s="3">
        <f>SUM((('BOX ORDER'!G45)/1000+0.15)*'BOX ORDER'!I45)*0.01083</f>
        <v>0</v>
      </c>
      <c r="F39" s="3">
        <f>SUM((('BOX ORDER'!H45)/1000+0.15)*'BOX ORDER'!J45)*10.83</f>
        <v>0</v>
      </c>
      <c r="G39" s="1">
        <f t="shared" si="1"/>
        <v>0</v>
      </c>
      <c r="H39" s="1"/>
      <c r="I39" s="1"/>
      <c r="J39" s="1"/>
      <c r="K39" s="4"/>
    </row>
    <row r="40" spans="1:11" ht="18" x14ac:dyDescent="0.25">
      <c r="A40" s="1">
        <v>39</v>
      </c>
      <c r="B40" s="1">
        <f>ROUNDUP('BOX ORDER'!H46,-1)</f>
        <v>0</v>
      </c>
      <c r="C40" s="1">
        <f>ROUNDUP('BOX ORDER'!I46,-1)</f>
        <v>0</v>
      </c>
      <c r="D40" s="3">
        <f>SUM((('BOX ORDER'!G46)/1000+0.15)*'BOX ORDER'!H46)*0.01083</f>
        <v>0</v>
      </c>
      <c r="E40" s="3">
        <f>SUM((('BOX ORDER'!G46)/1000+0.15)*'BOX ORDER'!I46)*0.01083</f>
        <v>0</v>
      </c>
      <c r="F40" s="3">
        <f>SUM((('BOX ORDER'!H46)/1000+0.15)*'BOX ORDER'!J46)*10.83</f>
        <v>0</v>
      </c>
      <c r="G40" s="1">
        <f t="shared" si="1"/>
        <v>0</v>
      </c>
      <c r="H40" s="1"/>
      <c r="I40" s="1"/>
      <c r="J40" s="1"/>
      <c r="K40" s="4"/>
    </row>
    <row r="41" spans="1:11" ht="18" x14ac:dyDescent="0.25">
      <c r="A41" s="1">
        <v>40</v>
      </c>
      <c r="B41" s="1">
        <f>ROUNDUP('BOX ORDER'!H47,-1)</f>
        <v>0</v>
      </c>
      <c r="C41" s="1">
        <f>ROUNDUP('BOX ORDER'!I47,-1)</f>
        <v>0</v>
      </c>
      <c r="D41" s="3">
        <f>SUM((('BOX ORDER'!G47)/1000+0.15)*'BOX ORDER'!H47)*0.01083</f>
        <v>0</v>
      </c>
      <c r="E41" s="3">
        <f>SUM((('BOX ORDER'!G47)/1000+0.15)*'BOX ORDER'!I47)*0.01083</f>
        <v>0</v>
      </c>
      <c r="F41" s="3">
        <f>SUM((('BOX ORDER'!H47)/1000+0.15)*'BOX ORDER'!J47)*10.83</f>
        <v>0</v>
      </c>
      <c r="G41" s="1">
        <f t="shared" si="1"/>
        <v>0</v>
      </c>
      <c r="H41" s="1"/>
      <c r="I41" s="1"/>
      <c r="J41" s="1"/>
      <c r="K41" s="4"/>
    </row>
    <row r="42" spans="1:11" ht="18" x14ac:dyDescent="0.25">
      <c r="A42" s="1">
        <v>41</v>
      </c>
      <c r="B42" s="1">
        <f>ROUNDUP('BOX ORDER'!H48,-1)</f>
        <v>0</v>
      </c>
      <c r="C42" s="1">
        <f>ROUNDUP('BOX ORDER'!I48,-1)</f>
        <v>0</v>
      </c>
      <c r="D42" s="3">
        <f>SUM((('BOX ORDER'!G48)/1000+0.15)*'BOX ORDER'!H48)*0.01083</f>
        <v>0</v>
      </c>
      <c r="E42" s="3">
        <f>SUM((('BOX ORDER'!G48)/1000+0.15)*'BOX ORDER'!I48)*0.01083</f>
        <v>0</v>
      </c>
      <c r="F42" s="3">
        <f>SUM((('BOX ORDER'!H48)/1000+0.15)*'BOX ORDER'!J48)*10.83</f>
        <v>0</v>
      </c>
      <c r="G42" s="1">
        <f t="shared" si="1"/>
        <v>0</v>
      </c>
      <c r="H42" s="1"/>
      <c r="I42" s="1"/>
      <c r="J42" s="1"/>
      <c r="K42" s="4"/>
    </row>
    <row r="43" spans="1:11" ht="18" x14ac:dyDescent="0.25">
      <c r="A43" s="1">
        <v>42</v>
      </c>
      <c r="B43" s="1">
        <f>ROUNDUP('BOX ORDER'!H49,-1)</f>
        <v>0</v>
      </c>
      <c r="C43" s="1">
        <f>ROUNDUP('BOX ORDER'!I49,-1)</f>
        <v>0</v>
      </c>
      <c r="D43" s="3">
        <f>SUM((('BOX ORDER'!G49)/1000+0.15)*'BOX ORDER'!H49)*0.01083</f>
        <v>0</v>
      </c>
      <c r="E43" s="3">
        <f>SUM((('BOX ORDER'!G49)/1000+0.15)*'BOX ORDER'!I49)*0.01083</f>
        <v>0</v>
      </c>
      <c r="F43" s="3">
        <f>SUM((('BOX ORDER'!H49)/1000+0.15)*'BOX ORDER'!J49)*10.83</f>
        <v>0</v>
      </c>
      <c r="G43" s="1">
        <f t="shared" si="1"/>
        <v>0</v>
      </c>
      <c r="H43" s="1"/>
      <c r="I43" s="1"/>
      <c r="J43" s="1"/>
      <c r="K43" s="4"/>
    </row>
    <row r="44" spans="1:11" ht="18" x14ac:dyDescent="0.25">
      <c r="A44" s="1">
        <v>43</v>
      </c>
      <c r="B44" s="1">
        <f>ROUNDUP('BOX ORDER'!H50,-1)</f>
        <v>0</v>
      </c>
      <c r="C44" s="1">
        <f>ROUNDUP('BOX ORDER'!I50,-1)</f>
        <v>0</v>
      </c>
      <c r="D44" s="3">
        <f>SUM((('BOX ORDER'!G50)/1000+0.15)*'BOX ORDER'!H50)*0.01083</f>
        <v>0</v>
      </c>
      <c r="E44" s="3">
        <f>SUM((('BOX ORDER'!G50)/1000+0.15)*'BOX ORDER'!I50)*0.01083</f>
        <v>0</v>
      </c>
      <c r="F44" s="3">
        <f>SUM((('BOX ORDER'!H50)/1000+0.15)*'BOX ORDER'!J50)*10.83</f>
        <v>0</v>
      </c>
      <c r="G44" s="1">
        <f t="shared" si="1"/>
        <v>0</v>
      </c>
      <c r="H44" s="1"/>
      <c r="I44" s="1"/>
      <c r="J44" s="1"/>
      <c r="K44" s="4"/>
    </row>
    <row r="45" spans="1:11" ht="18" x14ac:dyDescent="0.25">
      <c r="A45" s="1">
        <v>44</v>
      </c>
      <c r="B45" s="1">
        <f>ROUNDUP('BOX ORDER'!H51,-1)</f>
        <v>0</v>
      </c>
      <c r="C45" s="1">
        <f>ROUNDUP('BOX ORDER'!I51,-1)</f>
        <v>0</v>
      </c>
      <c r="D45" s="3">
        <f>SUM((('BOX ORDER'!G51)/1000+0.15)*'BOX ORDER'!H51)*0.01083</f>
        <v>0</v>
      </c>
      <c r="E45" s="3">
        <f>SUM((('BOX ORDER'!G51)/1000+0.15)*'BOX ORDER'!I51)*0.01083</f>
        <v>0</v>
      </c>
      <c r="F45" s="3">
        <f>SUM((('BOX ORDER'!H51)/1000+0.15)*'BOX ORDER'!J51)*10.83</f>
        <v>0</v>
      </c>
      <c r="G45" s="1">
        <f t="shared" si="1"/>
        <v>0</v>
      </c>
      <c r="H45" s="1"/>
      <c r="I45" s="1"/>
      <c r="J45" s="1"/>
      <c r="K45" s="4"/>
    </row>
    <row r="46" spans="1:11" ht="18" x14ac:dyDescent="0.25">
      <c r="A46" s="1">
        <v>45</v>
      </c>
      <c r="B46" s="1">
        <f>ROUNDUP('BOX ORDER'!H52,-1)</f>
        <v>0</v>
      </c>
      <c r="C46" s="1">
        <f>ROUNDUP('BOX ORDER'!I52,-1)</f>
        <v>0</v>
      </c>
      <c r="D46" s="3">
        <f>SUM((('BOX ORDER'!G52)/1000+0.15)*'BOX ORDER'!H52)*0.01083</f>
        <v>0</v>
      </c>
      <c r="E46" s="3">
        <f>SUM((('BOX ORDER'!G52)/1000+0.15)*'BOX ORDER'!I52)*0.01083</f>
        <v>0</v>
      </c>
      <c r="F46" s="3">
        <f>SUM((('BOX ORDER'!H52)/1000+0.15)*'BOX ORDER'!J52)*10.83</f>
        <v>0</v>
      </c>
      <c r="G46" s="1">
        <f t="shared" si="1"/>
        <v>0</v>
      </c>
      <c r="H46" s="1"/>
      <c r="I46" s="1"/>
      <c r="J46" s="1"/>
      <c r="K46" s="4"/>
    </row>
    <row r="47" spans="1:11" ht="18" x14ac:dyDescent="0.25">
      <c r="A47" s="1">
        <v>46</v>
      </c>
      <c r="B47" s="1">
        <f>ROUNDUP('BOX ORDER'!H53,-1)</f>
        <v>0</v>
      </c>
      <c r="C47" s="1">
        <f>ROUNDUP('BOX ORDER'!I53,-1)</f>
        <v>0</v>
      </c>
      <c r="D47" s="3">
        <f>SUM((('BOX ORDER'!G53)/1000+0.15)*'BOX ORDER'!H53)*0.01083</f>
        <v>0</v>
      </c>
      <c r="E47" s="3">
        <f>SUM((('BOX ORDER'!G53)/1000+0.15)*'BOX ORDER'!I53)*0.01083</f>
        <v>0</v>
      </c>
      <c r="F47" s="3">
        <f>SUM((('BOX ORDER'!H53)/1000+0.15)*'BOX ORDER'!J53)*10.83</f>
        <v>0</v>
      </c>
      <c r="G47" s="1">
        <f t="shared" si="1"/>
        <v>0</v>
      </c>
      <c r="H47" s="1"/>
      <c r="I47" s="1"/>
      <c r="J47" s="1"/>
      <c r="K47" s="4"/>
    </row>
    <row r="48" spans="1:11" ht="18" x14ac:dyDescent="0.25">
      <c r="A48" s="1">
        <v>47</v>
      </c>
      <c r="B48" s="1">
        <f>ROUNDUP('BOX ORDER'!H54,-1)</f>
        <v>0</v>
      </c>
      <c r="C48" s="1">
        <f>ROUNDUP('BOX ORDER'!I54,-1)</f>
        <v>0</v>
      </c>
      <c r="D48" s="3">
        <f>SUM((('BOX ORDER'!G54)/1000+0.15)*'BOX ORDER'!H54)*0.01083</f>
        <v>0</v>
      </c>
      <c r="E48" s="3">
        <f>SUM((('BOX ORDER'!G54)/1000+0.15)*'BOX ORDER'!I54)*0.01083</f>
        <v>0</v>
      </c>
      <c r="F48" s="3">
        <f>SUM((('BOX ORDER'!H54)/1000+0.15)*'BOX ORDER'!J54)*10.83</f>
        <v>0</v>
      </c>
      <c r="G48" s="1">
        <f t="shared" si="1"/>
        <v>0</v>
      </c>
      <c r="H48" s="1"/>
      <c r="I48" s="1"/>
      <c r="J48" s="1"/>
      <c r="K48" s="4"/>
    </row>
    <row r="49" spans="1:11" ht="18" x14ac:dyDescent="0.25">
      <c r="A49" s="1">
        <v>48</v>
      </c>
      <c r="B49" s="1">
        <f>ROUNDUP('BOX ORDER'!H55,-1)</f>
        <v>0</v>
      </c>
      <c r="C49" s="1">
        <f>ROUNDUP('BOX ORDER'!I55,-1)</f>
        <v>0</v>
      </c>
      <c r="D49" s="3">
        <f>SUM((('BOX ORDER'!G55)/1000+0.15)*'BOX ORDER'!H55)*0.01083</f>
        <v>0</v>
      </c>
      <c r="E49" s="3">
        <f>SUM((('BOX ORDER'!G55)/1000+0.15)*'BOX ORDER'!I55)*0.01083</f>
        <v>0</v>
      </c>
      <c r="F49" s="3">
        <f>SUM((('BOX ORDER'!H55)/1000+0.15)*'BOX ORDER'!J55)*10.83</f>
        <v>0</v>
      </c>
      <c r="G49" s="1">
        <f t="shared" si="1"/>
        <v>0</v>
      </c>
      <c r="H49" s="1"/>
      <c r="I49" s="1"/>
      <c r="J49" s="1"/>
      <c r="K49" s="4"/>
    </row>
    <row r="50" spans="1:11" ht="18" x14ac:dyDescent="0.25">
      <c r="A50" s="1">
        <v>49</v>
      </c>
      <c r="B50" s="1">
        <f>ROUNDUP('BOX ORDER'!H56,-1)</f>
        <v>0</v>
      </c>
      <c r="C50" s="1">
        <f>ROUNDUP('BOX ORDER'!I56,-1)</f>
        <v>0</v>
      </c>
      <c r="D50" s="3">
        <f>SUM((('BOX ORDER'!G56)/1000+0.15)*'BOX ORDER'!H56)*0.01083</f>
        <v>0</v>
      </c>
      <c r="E50" s="3">
        <f>SUM((('BOX ORDER'!G56)/1000+0.15)*'BOX ORDER'!I56)*0.01083</f>
        <v>0</v>
      </c>
      <c r="F50" s="3">
        <f>SUM((('BOX ORDER'!H56)/1000+0.15)*'BOX ORDER'!J56)*10.83</f>
        <v>0</v>
      </c>
      <c r="G50" s="1">
        <f t="shared" si="1"/>
        <v>0</v>
      </c>
      <c r="H50" s="1"/>
      <c r="I50" s="1"/>
      <c r="J50" s="1"/>
      <c r="K50" s="4"/>
    </row>
    <row r="51" spans="1:11" ht="18" x14ac:dyDescent="0.25">
      <c r="A51" s="1">
        <v>50</v>
      </c>
      <c r="B51" s="1">
        <f>ROUNDUP('BOX ORDER'!H57,-1)</f>
        <v>0</v>
      </c>
      <c r="C51" s="1">
        <f>ROUNDUP('BOX ORDER'!I57,-1)</f>
        <v>0</v>
      </c>
      <c r="D51" s="3">
        <f>SUM((('BOX ORDER'!G57)/1000+0.15)*'BOX ORDER'!H57)*0.01083</f>
        <v>0</v>
      </c>
      <c r="E51" s="3">
        <f>SUM((('BOX ORDER'!G57)/1000+0.15)*'BOX ORDER'!I57)*0.01083</f>
        <v>0</v>
      </c>
      <c r="F51" s="3">
        <f>SUM((('BOX ORDER'!H57)/1000+0.15)*'BOX ORDER'!J57)*10.83</f>
        <v>0</v>
      </c>
      <c r="G51" s="1">
        <f t="shared" si="1"/>
        <v>0</v>
      </c>
      <c r="H51" s="1"/>
      <c r="I51" s="1"/>
      <c r="J51" s="1"/>
      <c r="K51" s="4"/>
    </row>
    <row r="52" spans="1:11" ht="18" x14ac:dyDescent="0.25">
      <c r="A52" s="1">
        <v>51</v>
      </c>
      <c r="B52" s="1">
        <f>ROUNDUP('BOX ORDER'!H58,-1)</f>
        <v>0</v>
      </c>
      <c r="C52" s="1">
        <f>ROUNDUP('BOX ORDER'!I58,-1)</f>
        <v>0</v>
      </c>
      <c r="D52" s="3">
        <f>SUM((('BOX ORDER'!G58)/1000+0.15)*'BOX ORDER'!H58)*0.01083</f>
        <v>0</v>
      </c>
      <c r="E52" s="3">
        <f>SUM((('BOX ORDER'!G58)/1000+0.15)*'BOX ORDER'!I58)*0.01083</f>
        <v>0</v>
      </c>
      <c r="F52" s="3">
        <f>SUM((('BOX ORDER'!H58)/1000+0.15)*'BOX ORDER'!J58)*10.83</f>
        <v>0</v>
      </c>
      <c r="G52" s="1">
        <f t="shared" si="1"/>
        <v>0</v>
      </c>
      <c r="H52" s="1"/>
      <c r="I52" s="1"/>
      <c r="J52" s="1"/>
      <c r="K52" s="4"/>
    </row>
    <row r="53" spans="1:11" ht="18" x14ac:dyDescent="0.25">
      <c r="A53" s="1">
        <v>52</v>
      </c>
      <c r="B53" s="1">
        <f>ROUNDUP('BOX ORDER'!H59,-1)</f>
        <v>0</v>
      </c>
      <c r="C53" s="1">
        <f>ROUNDUP('BOX ORDER'!I59,-1)</f>
        <v>0</v>
      </c>
      <c r="D53" s="3">
        <f>SUM((('BOX ORDER'!G59)/1000+0.15)*'BOX ORDER'!H59)*0.01083</f>
        <v>0</v>
      </c>
      <c r="E53" s="3">
        <f>SUM((('BOX ORDER'!G59)/1000+0.15)*'BOX ORDER'!I59)*0.01083</f>
        <v>0</v>
      </c>
      <c r="F53" s="3">
        <f>SUM((('BOX ORDER'!H59)/1000+0.15)*'BOX ORDER'!J59)*10.83</f>
        <v>0</v>
      </c>
      <c r="G53" s="1">
        <f t="shared" si="1"/>
        <v>0</v>
      </c>
      <c r="H53" s="1"/>
      <c r="I53" s="1"/>
      <c r="J53" s="1"/>
      <c r="K53" s="4"/>
    </row>
    <row r="54" spans="1:11" ht="18" x14ac:dyDescent="0.25">
      <c r="A54" s="1">
        <v>53</v>
      </c>
      <c r="B54" s="1">
        <f>ROUNDUP('BOX ORDER'!H60,-1)</f>
        <v>0</v>
      </c>
      <c r="C54" s="1">
        <f>ROUNDUP('BOX ORDER'!I60,-1)</f>
        <v>0</v>
      </c>
      <c r="D54" s="3">
        <f>SUM((('BOX ORDER'!G60)/1000+0.15)*'BOX ORDER'!H60)*0.01083</f>
        <v>0</v>
      </c>
      <c r="E54" s="3">
        <f>SUM((('BOX ORDER'!G60)/1000+0.15)*'BOX ORDER'!I60)*0.01083</f>
        <v>0</v>
      </c>
      <c r="F54" s="3">
        <f>SUM((('BOX ORDER'!H60)/1000+0.15)*'BOX ORDER'!J60)*10.83</f>
        <v>0</v>
      </c>
      <c r="G54" s="1">
        <f t="shared" si="1"/>
        <v>0</v>
      </c>
      <c r="H54" s="1"/>
      <c r="I54" s="1"/>
      <c r="J54" s="1"/>
      <c r="K54" s="4"/>
    </row>
    <row r="55" spans="1:11" ht="18" x14ac:dyDescent="0.25">
      <c r="A55" s="1">
        <v>54</v>
      </c>
      <c r="B55" s="1">
        <f>ROUNDUP('BOX ORDER'!H61,-1)</f>
        <v>0</v>
      </c>
      <c r="C55" s="1">
        <f>ROUNDUP('BOX ORDER'!I61,-1)</f>
        <v>0</v>
      </c>
      <c r="D55" s="3">
        <f>SUM((('BOX ORDER'!G61)/1000+0.15)*'BOX ORDER'!H61)*0.01083</f>
        <v>0</v>
      </c>
      <c r="E55" s="3">
        <f>SUM((('BOX ORDER'!G61)/1000+0.15)*'BOX ORDER'!I61)*0.01083</f>
        <v>0</v>
      </c>
      <c r="F55" s="3">
        <f>SUM((('BOX ORDER'!H61)/1000+0.15)*'BOX ORDER'!J61)*10.83</f>
        <v>0</v>
      </c>
      <c r="G55" s="1">
        <f t="shared" si="1"/>
        <v>0</v>
      </c>
      <c r="H55" s="1"/>
      <c r="I55" s="1"/>
      <c r="J55" s="1"/>
      <c r="K55" s="4"/>
    </row>
    <row r="56" spans="1:11" ht="18" x14ac:dyDescent="0.25">
      <c r="A56" s="1">
        <v>55</v>
      </c>
      <c r="B56" s="1">
        <f>ROUNDUP('BOX ORDER'!H62,-1)</f>
        <v>0</v>
      </c>
      <c r="C56" s="1">
        <f>ROUNDUP('BOX ORDER'!I62,-1)</f>
        <v>0</v>
      </c>
      <c r="D56" s="3">
        <f>SUM((('BOX ORDER'!G62)/1000+0.15)*'BOX ORDER'!H62)*0.01083</f>
        <v>0</v>
      </c>
      <c r="E56" s="3">
        <f>SUM((('BOX ORDER'!G62)/1000+0.15)*'BOX ORDER'!I62)*0.01083</f>
        <v>0</v>
      </c>
      <c r="F56" s="3">
        <f>SUM((('BOX ORDER'!H62)/1000+0.15)*'BOX ORDER'!J62)*10.83</f>
        <v>0</v>
      </c>
      <c r="G56" s="1">
        <f t="shared" si="1"/>
        <v>0</v>
      </c>
      <c r="H56" s="1"/>
      <c r="I56" s="1"/>
      <c r="J56" s="1"/>
      <c r="K56" s="4"/>
    </row>
    <row r="57" spans="1:11" ht="18" x14ac:dyDescent="0.25">
      <c r="A57" s="1">
        <v>56</v>
      </c>
      <c r="B57" s="1">
        <f>ROUNDUP('BOX ORDER'!H63,-1)</f>
        <v>0</v>
      </c>
      <c r="C57" s="1">
        <f>ROUNDUP('BOX ORDER'!I63,-1)</f>
        <v>0</v>
      </c>
      <c r="D57" s="3">
        <f>SUM((('BOX ORDER'!G63)/1000+0.15)*'BOX ORDER'!H63)*0.01083</f>
        <v>0</v>
      </c>
      <c r="E57" s="3">
        <f>SUM((('BOX ORDER'!G63)/1000+0.15)*'BOX ORDER'!I63)*0.01083</f>
        <v>0</v>
      </c>
      <c r="F57" s="3">
        <f>SUM((('BOX ORDER'!H63)/1000+0.15)*'BOX ORDER'!J63)*10.83</f>
        <v>0</v>
      </c>
      <c r="G57" s="1">
        <f t="shared" si="1"/>
        <v>0</v>
      </c>
      <c r="H57" s="1"/>
      <c r="I57" s="1"/>
      <c r="J57" s="1"/>
      <c r="K57" s="4"/>
    </row>
    <row r="58" spans="1:11" ht="18" x14ac:dyDescent="0.25">
      <c r="A58" s="1">
        <v>57</v>
      </c>
      <c r="B58" s="1">
        <f>ROUNDUP('BOX ORDER'!H64,-1)</f>
        <v>0</v>
      </c>
      <c r="C58" s="1">
        <f>ROUNDUP('BOX ORDER'!I64,-1)</f>
        <v>0</v>
      </c>
      <c r="D58" s="3">
        <f>SUM((('BOX ORDER'!G64)/1000+0.15)*'BOX ORDER'!H64)*0.01083</f>
        <v>0</v>
      </c>
      <c r="E58" s="3">
        <f>SUM((('BOX ORDER'!G64)/1000+0.15)*'BOX ORDER'!I64)*0.01083</f>
        <v>0</v>
      </c>
      <c r="F58" s="3">
        <f>SUM((('BOX ORDER'!H64)/1000+0.15)*'BOX ORDER'!J64)*10.83</f>
        <v>0</v>
      </c>
      <c r="G58" s="1">
        <f t="shared" si="1"/>
        <v>0</v>
      </c>
      <c r="H58" s="1"/>
      <c r="I58" s="1"/>
      <c r="J58" s="1"/>
      <c r="K58" s="4"/>
    </row>
    <row r="59" spans="1:11" ht="18" x14ac:dyDescent="0.25">
      <c r="A59" s="1">
        <v>58</v>
      </c>
      <c r="B59" s="1">
        <f>ROUNDUP('BOX ORDER'!H65,-1)</f>
        <v>0</v>
      </c>
      <c r="C59" s="1">
        <f>ROUNDUP('BOX ORDER'!I65,-1)</f>
        <v>0</v>
      </c>
      <c r="D59" s="3">
        <f>SUM((('BOX ORDER'!G65)/1000+0.15)*'BOX ORDER'!H65)*0.01083</f>
        <v>0</v>
      </c>
      <c r="E59" s="3">
        <f>SUM((('BOX ORDER'!G65)/1000+0.15)*'BOX ORDER'!I65)*0.01083</f>
        <v>0</v>
      </c>
      <c r="F59" s="3">
        <f>SUM((('BOX ORDER'!H65)/1000+0.15)*'BOX ORDER'!J65)*10.83</f>
        <v>0</v>
      </c>
      <c r="G59" s="1">
        <f t="shared" si="1"/>
        <v>0</v>
      </c>
      <c r="H59" s="1"/>
      <c r="I59" s="1"/>
      <c r="J59" s="1"/>
      <c r="K59" s="4"/>
    </row>
    <row r="60" spans="1:11" ht="18" x14ac:dyDescent="0.25">
      <c r="A60" s="1">
        <v>59</v>
      </c>
      <c r="B60" s="1">
        <f>ROUNDUP('BOX ORDER'!H66,-1)</f>
        <v>0</v>
      </c>
      <c r="C60" s="1">
        <f>ROUNDUP('BOX ORDER'!I66,-1)</f>
        <v>0</v>
      </c>
      <c r="D60" s="3">
        <f>SUM((('BOX ORDER'!G66)/1000+0.15)*'BOX ORDER'!H66)*0.01083</f>
        <v>0</v>
      </c>
      <c r="E60" s="3">
        <f>SUM((('BOX ORDER'!G66)/1000+0.15)*'BOX ORDER'!I66)*0.01083</f>
        <v>0</v>
      </c>
      <c r="F60" s="3">
        <f>SUM((('BOX ORDER'!H66)/1000+0.15)*'BOX ORDER'!J66)*10.83</f>
        <v>0</v>
      </c>
      <c r="G60" s="1">
        <f t="shared" si="1"/>
        <v>0</v>
      </c>
      <c r="H60" s="1"/>
      <c r="I60" s="1"/>
      <c r="J60" s="1"/>
      <c r="K60" s="4"/>
    </row>
    <row r="61" spans="1:11" ht="18" x14ac:dyDescent="0.25">
      <c r="A61" s="1">
        <v>60</v>
      </c>
      <c r="B61" s="1">
        <f>ROUNDUP('BOX ORDER'!H67,-1)</f>
        <v>0</v>
      </c>
      <c r="C61" s="1">
        <f>ROUNDUP('BOX ORDER'!I67,-1)</f>
        <v>0</v>
      </c>
      <c r="D61" s="3">
        <f>SUM((('BOX ORDER'!G67)/1000+0.15)*'BOX ORDER'!H67)*0.01083</f>
        <v>0</v>
      </c>
      <c r="E61" s="3">
        <f>SUM((('BOX ORDER'!G67)/1000+0.15)*'BOX ORDER'!I67)*0.01083</f>
        <v>0</v>
      </c>
      <c r="F61" s="3">
        <f>SUM((('BOX ORDER'!H67)/1000+0.15)*'BOX ORDER'!J67)*10.83</f>
        <v>0</v>
      </c>
      <c r="G61" s="1">
        <f t="shared" si="1"/>
        <v>0</v>
      </c>
      <c r="H61" s="1"/>
      <c r="I61" s="1"/>
      <c r="J61" s="1"/>
      <c r="K61" s="4"/>
    </row>
    <row r="62" spans="1:11" ht="18" x14ac:dyDescent="0.25">
      <c r="A62" s="1">
        <v>61</v>
      </c>
      <c r="B62" s="1">
        <f>ROUNDUP('BOX ORDER'!H68,-1)</f>
        <v>0</v>
      </c>
      <c r="C62" s="1">
        <f>ROUNDUP('BOX ORDER'!I68,-1)</f>
        <v>0</v>
      </c>
      <c r="D62" s="3">
        <f>SUM((('BOX ORDER'!G68)/1000+0.15)*'BOX ORDER'!H68)*0.01083</f>
        <v>0</v>
      </c>
      <c r="E62" s="3">
        <f>SUM((('BOX ORDER'!G68)/1000+0.15)*'BOX ORDER'!I68)*0.01083</f>
        <v>0</v>
      </c>
      <c r="F62" s="3">
        <f>SUM((('BOX ORDER'!H68)/1000+0.15)*'BOX ORDER'!J68)*10.83</f>
        <v>0</v>
      </c>
      <c r="G62" s="1">
        <f t="shared" si="1"/>
        <v>0</v>
      </c>
      <c r="H62" s="1"/>
      <c r="I62" s="1"/>
      <c r="J62" s="1"/>
      <c r="K62" s="4"/>
    </row>
    <row r="63" spans="1:11" ht="18" x14ac:dyDescent="0.25">
      <c r="A63" s="1">
        <v>62</v>
      </c>
      <c r="B63" s="1">
        <f>ROUNDUP('BOX ORDER'!H69,-1)</f>
        <v>0</v>
      </c>
      <c r="C63" s="1">
        <f>ROUNDUP('BOX ORDER'!I69,-1)</f>
        <v>0</v>
      </c>
      <c r="D63" s="3">
        <f>SUM((('BOX ORDER'!G69)/1000+0.15)*'BOX ORDER'!H69)*0.01083</f>
        <v>0</v>
      </c>
      <c r="E63" s="3">
        <f>SUM((('BOX ORDER'!G69)/1000+0.15)*'BOX ORDER'!I69)*0.01083</f>
        <v>0</v>
      </c>
      <c r="F63" s="3">
        <f>SUM((('BOX ORDER'!H69)/1000+0.15)*'BOX ORDER'!J69)*10.83</f>
        <v>0</v>
      </c>
      <c r="G63" s="1">
        <f t="shared" si="1"/>
        <v>0</v>
      </c>
      <c r="H63" s="1"/>
      <c r="I63" s="1"/>
      <c r="J63" s="1"/>
      <c r="K63" s="4"/>
    </row>
    <row r="64" spans="1:11" ht="18" x14ac:dyDescent="0.25">
      <c r="A64" s="1">
        <v>63</v>
      </c>
      <c r="B64" s="1">
        <f>ROUNDUP('BOX ORDER'!H70,-1)</f>
        <v>0</v>
      </c>
      <c r="C64" s="1">
        <f>ROUNDUP('BOX ORDER'!I70,-1)</f>
        <v>0</v>
      </c>
      <c r="D64" s="3">
        <f>SUM((('BOX ORDER'!G70)/1000+0.15)*'BOX ORDER'!H70)*0.01083</f>
        <v>0</v>
      </c>
      <c r="E64" s="3">
        <f>SUM((('BOX ORDER'!G70)/1000+0.15)*'BOX ORDER'!I70)*0.01083</f>
        <v>0</v>
      </c>
      <c r="F64" s="3">
        <f>SUM((('BOX ORDER'!H70)/1000+0.15)*'BOX ORDER'!J70)*10.83</f>
        <v>0</v>
      </c>
      <c r="G64" s="1">
        <f t="shared" si="1"/>
        <v>0</v>
      </c>
      <c r="H64" s="1"/>
      <c r="I64" s="1"/>
      <c r="J64" s="1"/>
      <c r="K64" s="4"/>
    </row>
    <row r="65" spans="1:11" ht="18" x14ac:dyDescent="0.25">
      <c r="A65" s="1">
        <v>64</v>
      </c>
      <c r="B65" s="1">
        <f>ROUNDUP('BOX ORDER'!H71,-1)</f>
        <v>0</v>
      </c>
      <c r="C65" s="1">
        <f>ROUNDUP('BOX ORDER'!I71,-1)</f>
        <v>0</v>
      </c>
      <c r="D65" s="3">
        <f>SUM((('BOX ORDER'!G71)/1000+0.15)*'BOX ORDER'!H71)*0.01083</f>
        <v>0</v>
      </c>
      <c r="E65" s="3">
        <f>SUM((('BOX ORDER'!G71)/1000+0.15)*'BOX ORDER'!I71)*0.01083</f>
        <v>0</v>
      </c>
      <c r="F65" s="3">
        <f>SUM((('BOX ORDER'!H71)/1000+0.15)*'BOX ORDER'!J71)*10.83</f>
        <v>0</v>
      </c>
      <c r="G65" s="1">
        <f t="shared" si="1"/>
        <v>0</v>
      </c>
      <c r="H65" s="1"/>
      <c r="I65" s="1"/>
      <c r="J65" s="1"/>
      <c r="K65" s="4"/>
    </row>
    <row r="66" spans="1:11" ht="18" x14ac:dyDescent="0.25">
      <c r="A66" s="1">
        <v>65</v>
      </c>
      <c r="B66" s="1">
        <f>ROUNDUP('BOX ORDER'!H72,-1)</f>
        <v>0</v>
      </c>
      <c r="C66" s="1">
        <f>ROUNDUP('BOX ORDER'!I72,-1)</f>
        <v>0</v>
      </c>
      <c r="D66" s="3">
        <f>SUM((('BOX ORDER'!G72)/1000+0.15)*'BOX ORDER'!H72)*0.01083</f>
        <v>0</v>
      </c>
      <c r="E66" s="3">
        <f>SUM((('BOX ORDER'!G72)/1000+0.15)*'BOX ORDER'!I72)*0.01083</f>
        <v>0</v>
      </c>
      <c r="F66" s="3">
        <f>SUM((('BOX ORDER'!H72)/1000+0.15)*'BOX ORDER'!J72)*10.83</f>
        <v>0</v>
      </c>
      <c r="G66" s="1">
        <f t="shared" si="1"/>
        <v>0</v>
      </c>
      <c r="H66" s="1"/>
      <c r="I66" s="1"/>
      <c r="J66" s="1"/>
      <c r="K66" s="4"/>
    </row>
    <row r="67" spans="1:11" ht="18" x14ac:dyDescent="0.25">
      <c r="A67" s="1">
        <v>66</v>
      </c>
      <c r="B67" s="1">
        <f>ROUNDUP('BOX ORDER'!H73,-1)</f>
        <v>0</v>
      </c>
      <c r="C67" s="1">
        <f>ROUNDUP('BOX ORDER'!I73,-1)</f>
        <v>0</v>
      </c>
      <c r="D67" s="3">
        <f>SUM((('BOX ORDER'!G73)/1000+0.15)*'BOX ORDER'!H73)*0.01083</f>
        <v>0</v>
      </c>
      <c r="E67" s="3">
        <f>SUM((('BOX ORDER'!G73)/1000+0.15)*'BOX ORDER'!I73)*0.01083</f>
        <v>0</v>
      </c>
      <c r="F67" s="3">
        <f>SUM((('BOX ORDER'!H73)/1000+0.15)*'BOX ORDER'!J73)*10.83</f>
        <v>0</v>
      </c>
      <c r="G67" s="1">
        <f t="shared" si="1"/>
        <v>0</v>
      </c>
      <c r="H67" s="1"/>
      <c r="I67" s="1"/>
      <c r="J67" s="1"/>
      <c r="K67" s="4"/>
    </row>
    <row r="68" spans="1:11" ht="18" x14ac:dyDescent="0.25">
      <c r="A68" s="1">
        <v>67</v>
      </c>
      <c r="B68" s="1">
        <f>ROUNDUP('BOX ORDER'!H74,-1)</f>
        <v>0</v>
      </c>
      <c r="C68" s="1">
        <f>ROUNDUP('BOX ORDER'!I74,-1)</f>
        <v>0</v>
      </c>
      <c r="D68" s="3">
        <f>SUM((('BOX ORDER'!G74)/1000+0.15)*'BOX ORDER'!H74)*0.01083</f>
        <v>0</v>
      </c>
      <c r="E68" s="3">
        <f>SUM((('BOX ORDER'!G74)/1000+0.15)*'BOX ORDER'!I74)*0.01083</f>
        <v>0</v>
      </c>
      <c r="F68" s="3">
        <f>SUM((('BOX ORDER'!H74)/1000+0.15)*'BOX ORDER'!J74)*10.83</f>
        <v>0</v>
      </c>
      <c r="G68" s="1">
        <f t="shared" si="1"/>
        <v>0</v>
      </c>
      <c r="H68" s="1"/>
      <c r="I68" s="1"/>
      <c r="J68" s="1"/>
      <c r="K68" s="4"/>
    </row>
    <row r="69" spans="1:11" ht="18" x14ac:dyDescent="0.25">
      <c r="A69" s="1">
        <v>68</v>
      </c>
      <c r="B69" s="1">
        <f>ROUNDUP('BOX ORDER'!H75,-1)</f>
        <v>0</v>
      </c>
      <c r="C69" s="1">
        <f>ROUNDUP('BOX ORDER'!I75,-1)</f>
        <v>0</v>
      </c>
      <c r="D69" s="3">
        <f>SUM((('BOX ORDER'!G75)/1000+0.15)*'BOX ORDER'!H75)*0.01083</f>
        <v>0</v>
      </c>
      <c r="E69" s="3">
        <f>SUM((('BOX ORDER'!G75)/1000+0.15)*'BOX ORDER'!I75)*0.01083</f>
        <v>0</v>
      </c>
      <c r="F69" s="3">
        <f>SUM((('BOX ORDER'!H75)/1000+0.15)*'BOX ORDER'!J75)*10.83</f>
        <v>0</v>
      </c>
      <c r="G69" s="1">
        <f t="shared" si="1"/>
        <v>0</v>
      </c>
      <c r="H69" s="1"/>
      <c r="I69" s="1"/>
      <c r="J69" s="1"/>
      <c r="K69" s="4"/>
    </row>
    <row r="70" spans="1:11" ht="18" x14ac:dyDescent="0.25">
      <c r="A70" s="1">
        <v>69</v>
      </c>
      <c r="B70" s="1">
        <f>ROUNDUP('BOX ORDER'!H76,-1)</f>
        <v>0</v>
      </c>
      <c r="C70" s="1">
        <f>ROUNDUP('BOX ORDER'!I76,-1)</f>
        <v>0</v>
      </c>
      <c r="D70" s="3">
        <f>SUM((('BOX ORDER'!G76)/1000+0.15)*'BOX ORDER'!H76)*0.01083</f>
        <v>0</v>
      </c>
      <c r="E70" s="3">
        <f>SUM((('BOX ORDER'!G76)/1000+0.15)*'BOX ORDER'!I76)*0.01083</f>
        <v>0</v>
      </c>
      <c r="F70" s="3">
        <f>SUM((('BOX ORDER'!H76)/1000+0.15)*'BOX ORDER'!J76)*10.83</f>
        <v>0</v>
      </c>
      <c r="G70" s="1">
        <f t="shared" si="1"/>
        <v>0</v>
      </c>
      <c r="H70" s="1"/>
      <c r="I70" s="1"/>
      <c r="J70" s="1"/>
      <c r="K70" s="4"/>
    </row>
    <row r="71" spans="1:11" ht="18" x14ac:dyDescent="0.25">
      <c r="A71" s="1">
        <v>70</v>
      </c>
      <c r="B71" s="1">
        <f>ROUNDUP('BOX ORDER'!H77,-1)</f>
        <v>0</v>
      </c>
      <c r="C71" s="1">
        <f>ROUNDUP('BOX ORDER'!I77,-1)</f>
        <v>0</v>
      </c>
      <c r="D71" s="3">
        <f>SUM((('BOX ORDER'!G77)/1000+0.15)*'BOX ORDER'!H77)*0.01083</f>
        <v>0</v>
      </c>
      <c r="E71" s="3">
        <f>SUM((('BOX ORDER'!G77)/1000+0.15)*'BOX ORDER'!I77)*0.01083</f>
        <v>0</v>
      </c>
      <c r="F71" s="3">
        <f>SUM((('BOX ORDER'!H77)/1000+0.15)*'BOX ORDER'!J77)*10.83</f>
        <v>0</v>
      </c>
      <c r="G71" s="1">
        <f t="shared" si="1"/>
        <v>0</v>
      </c>
      <c r="H71" s="1"/>
      <c r="I71" s="1"/>
      <c r="J71" s="1"/>
      <c r="K71" s="4"/>
    </row>
    <row r="72" spans="1:11" ht="18" x14ac:dyDescent="0.25">
      <c r="A72" s="1">
        <v>71</v>
      </c>
      <c r="B72" s="1">
        <f>ROUNDUP('BOX ORDER'!H78,-1)</f>
        <v>0</v>
      </c>
      <c r="C72" s="1">
        <f>ROUNDUP('BOX ORDER'!I78,-1)</f>
        <v>0</v>
      </c>
      <c r="D72" s="3">
        <f>SUM((('BOX ORDER'!G78)/1000+0.15)*'BOX ORDER'!H78)*0.01083</f>
        <v>0</v>
      </c>
      <c r="E72" s="3">
        <f>SUM((('BOX ORDER'!G78)/1000+0.15)*'BOX ORDER'!I78)*0.01083</f>
        <v>0</v>
      </c>
      <c r="F72" s="3">
        <f>SUM((('BOX ORDER'!H78)/1000+0.15)*'BOX ORDER'!J78)*10.83</f>
        <v>0</v>
      </c>
      <c r="G72" s="1">
        <f t="shared" si="1"/>
        <v>0</v>
      </c>
      <c r="H72" s="1"/>
      <c r="I72" s="1"/>
      <c r="J72" s="1"/>
      <c r="K72" s="4"/>
    </row>
    <row r="73" spans="1:11" ht="18" x14ac:dyDescent="0.25">
      <c r="A73" s="1">
        <v>72</v>
      </c>
      <c r="B73" s="1">
        <f>ROUNDUP('BOX ORDER'!H79,-1)</f>
        <v>0</v>
      </c>
      <c r="C73" s="1">
        <f>ROUNDUP('BOX ORDER'!I79,-1)</f>
        <v>0</v>
      </c>
      <c r="D73" s="3">
        <f>SUM((('BOX ORDER'!G79)/1000+0.15)*'BOX ORDER'!H79)*0.01083</f>
        <v>0</v>
      </c>
      <c r="E73" s="3">
        <f>SUM((('BOX ORDER'!G79)/1000+0.15)*'BOX ORDER'!I79)*0.01083</f>
        <v>0</v>
      </c>
      <c r="F73" s="3">
        <f>SUM((('BOX ORDER'!H79)/1000+0.15)*'BOX ORDER'!J79)*10.83</f>
        <v>0</v>
      </c>
      <c r="G73" s="1">
        <f t="shared" si="1"/>
        <v>0</v>
      </c>
      <c r="H73" s="1"/>
      <c r="I73" s="1"/>
      <c r="J73" s="1"/>
      <c r="K73" s="4"/>
    </row>
    <row r="74" spans="1:11" ht="18" x14ac:dyDescent="0.25">
      <c r="A74" s="1">
        <v>73</v>
      </c>
      <c r="B74" s="1">
        <f>ROUNDUP('BOX ORDER'!H80,-1)</f>
        <v>0</v>
      </c>
      <c r="C74" s="1">
        <f>ROUNDUP('BOX ORDER'!I80,-1)</f>
        <v>0</v>
      </c>
      <c r="D74" s="3">
        <f>SUM((('BOX ORDER'!G80)/1000+0.15)*'BOX ORDER'!H80)*0.01083</f>
        <v>0</v>
      </c>
      <c r="E74" s="3">
        <f>SUM((('BOX ORDER'!G80)/1000+0.15)*'BOX ORDER'!I80)*0.01083</f>
        <v>0</v>
      </c>
      <c r="F74" s="3">
        <f>SUM((('BOX ORDER'!H80)/1000+0.15)*'BOX ORDER'!J80)*10.83</f>
        <v>0</v>
      </c>
      <c r="G74" s="1">
        <f t="shared" si="1"/>
        <v>0</v>
      </c>
      <c r="H74" s="1"/>
      <c r="I74" s="1"/>
      <c r="J74" s="1"/>
      <c r="K74" s="4"/>
    </row>
    <row r="75" spans="1:11" ht="18" x14ac:dyDescent="0.25">
      <c r="A75" s="1">
        <v>74</v>
      </c>
      <c r="B75" s="1">
        <f>ROUNDUP('BOX ORDER'!H81,-1)</f>
        <v>0</v>
      </c>
      <c r="C75" s="1">
        <f>ROUNDUP('BOX ORDER'!I81,-1)</f>
        <v>0</v>
      </c>
      <c r="D75" s="3">
        <f>SUM((('BOX ORDER'!G81)/1000+0.15)*'BOX ORDER'!H81)*0.01083</f>
        <v>0</v>
      </c>
      <c r="E75" s="3">
        <f>SUM((('BOX ORDER'!G81)/1000+0.15)*'BOX ORDER'!I81)*0.01083</f>
        <v>0</v>
      </c>
      <c r="F75" s="3">
        <f>SUM((('BOX ORDER'!H81)/1000+0.15)*'BOX ORDER'!J81)*10.83</f>
        <v>0</v>
      </c>
      <c r="G75" s="1">
        <f t="shared" si="1"/>
        <v>0</v>
      </c>
      <c r="H75" s="1"/>
      <c r="I75" s="1"/>
      <c r="J75" s="1"/>
      <c r="K75" s="4"/>
    </row>
    <row r="76" spans="1:11" ht="18" x14ac:dyDescent="0.25">
      <c r="A76" s="1">
        <v>75</v>
      </c>
      <c r="B76" s="1">
        <f>ROUNDUP('BOX ORDER'!H82,-1)</f>
        <v>0</v>
      </c>
      <c r="C76" s="1">
        <f>ROUNDUP('BOX ORDER'!I82,-1)</f>
        <v>0</v>
      </c>
      <c r="D76" s="3">
        <f>SUM((('BOX ORDER'!G82)/1000+0.15)*'BOX ORDER'!H82)*0.01083</f>
        <v>0</v>
      </c>
      <c r="E76" s="3">
        <f>SUM((('BOX ORDER'!G82)/1000+0.15)*'BOX ORDER'!I82)*0.01083</f>
        <v>0</v>
      </c>
      <c r="F76" s="3">
        <f>SUM((('BOX ORDER'!H82)/1000+0.15)*'BOX ORDER'!J82)*10.83</f>
        <v>0</v>
      </c>
      <c r="G76" s="1">
        <f t="shared" si="1"/>
        <v>0</v>
      </c>
      <c r="H76" s="1"/>
      <c r="I76" s="1"/>
      <c r="J76" s="1"/>
      <c r="K76" s="4"/>
    </row>
    <row r="77" spans="1:11" ht="18" x14ac:dyDescent="0.25">
      <c r="A77" s="1">
        <v>76</v>
      </c>
      <c r="B77" s="1">
        <f>ROUNDUP('BOX ORDER'!H83,-1)</f>
        <v>0</v>
      </c>
      <c r="C77" s="1">
        <f>ROUNDUP('BOX ORDER'!I83,-1)</f>
        <v>0</v>
      </c>
      <c r="D77" s="3">
        <f>SUM((('BOX ORDER'!G83)/1000+0.15)*'BOX ORDER'!H83)*0.01083</f>
        <v>0</v>
      </c>
      <c r="E77" s="3">
        <f>SUM((('BOX ORDER'!G83)/1000+0.15)*'BOX ORDER'!I83)*0.01083</f>
        <v>0</v>
      </c>
      <c r="F77" s="3">
        <f>SUM((('BOX ORDER'!H83)/1000+0.15)*'BOX ORDER'!J83)*10.83</f>
        <v>0</v>
      </c>
      <c r="G77" s="1">
        <f t="shared" si="1"/>
        <v>0</v>
      </c>
      <c r="H77" s="1"/>
      <c r="I77" s="1"/>
      <c r="J77" s="1"/>
      <c r="K77" s="4"/>
    </row>
    <row r="78" spans="1:11" ht="18" x14ac:dyDescent="0.25">
      <c r="A78" s="1">
        <v>77</v>
      </c>
      <c r="B78" s="1">
        <f>ROUNDUP('BOX ORDER'!H84,-1)</f>
        <v>0</v>
      </c>
      <c r="C78" s="1">
        <f>ROUNDUP('BOX ORDER'!I84,-1)</f>
        <v>0</v>
      </c>
      <c r="D78" s="3">
        <f>SUM((('BOX ORDER'!G84)/1000+0.15)*'BOX ORDER'!H84)*0.01083</f>
        <v>0</v>
      </c>
      <c r="E78" s="3">
        <f>SUM((('BOX ORDER'!G84)/1000+0.15)*'BOX ORDER'!I84)*0.01083</f>
        <v>0</v>
      </c>
      <c r="F78" s="3">
        <f>SUM((('BOX ORDER'!H84)/1000+0.15)*'BOX ORDER'!J84)*10.83</f>
        <v>0</v>
      </c>
      <c r="G78" s="1">
        <f t="shared" si="1"/>
        <v>0</v>
      </c>
      <c r="H78" s="1"/>
      <c r="I78" s="1"/>
      <c r="J78" s="1"/>
      <c r="K78" s="4"/>
    </row>
    <row r="79" spans="1:11" ht="18" x14ac:dyDescent="0.25">
      <c r="A79" s="1">
        <v>78</v>
      </c>
      <c r="B79" s="1">
        <f>ROUNDUP('BOX ORDER'!H85,-1)</f>
        <v>0</v>
      </c>
      <c r="C79" s="1">
        <f>ROUNDUP('BOX ORDER'!I85,-1)</f>
        <v>0</v>
      </c>
      <c r="D79" s="3">
        <f>SUM((('BOX ORDER'!G85)/1000+0.15)*'BOX ORDER'!H85)*0.01083</f>
        <v>0</v>
      </c>
      <c r="E79" s="3">
        <f>SUM((('BOX ORDER'!G85)/1000+0.15)*'BOX ORDER'!I85)*0.01083</f>
        <v>0</v>
      </c>
      <c r="F79" s="3">
        <f>SUM((('BOX ORDER'!H85)/1000+0.15)*'BOX ORDER'!J85)*10.83</f>
        <v>0</v>
      </c>
      <c r="G79" s="1">
        <f t="shared" si="1"/>
        <v>0</v>
      </c>
      <c r="H79" s="1"/>
      <c r="I79" s="1"/>
      <c r="J79" s="1"/>
      <c r="K79" s="4"/>
    </row>
    <row r="80" spans="1:11" ht="18" x14ac:dyDescent="0.25">
      <c r="A80" s="1">
        <v>79</v>
      </c>
      <c r="B80" s="1">
        <f>ROUNDUP('BOX ORDER'!H86,-1)</f>
        <v>0</v>
      </c>
      <c r="C80" s="1">
        <f>ROUNDUP('BOX ORDER'!I86,-1)</f>
        <v>0</v>
      </c>
      <c r="D80" s="3">
        <f>SUM((('BOX ORDER'!G86)/1000+0.15)*'BOX ORDER'!H86)*0.01083</f>
        <v>0</v>
      </c>
      <c r="E80" s="3">
        <f>SUM((('BOX ORDER'!G86)/1000+0.15)*'BOX ORDER'!I86)*0.01083</f>
        <v>0</v>
      </c>
      <c r="F80" s="3">
        <f>SUM((('BOX ORDER'!H86)/1000+0.15)*'BOX ORDER'!J86)*10.83</f>
        <v>0</v>
      </c>
      <c r="G80" s="1">
        <f t="shared" si="1"/>
        <v>0</v>
      </c>
      <c r="H80" s="1"/>
      <c r="I80" s="1"/>
      <c r="J80" s="1"/>
      <c r="K80" s="4"/>
    </row>
    <row r="81" spans="1:11" ht="18" x14ac:dyDescent="0.25">
      <c r="A81" s="1">
        <v>80</v>
      </c>
      <c r="B81" s="1">
        <f>ROUNDUP('BOX ORDER'!H87,-1)</f>
        <v>0</v>
      </c>
      <c r="C81" s="1">
        <f>ROUNDUP('BOX ORDER'!I87,-1)</f>
        <v>0</v>
      </c>
      <c r="D81" s="3">
        <f>SUM((('BOX ORDER'!G87)/1000+0.15)*'BOX ORDER'!H87)*0.01083</f>
        <v>0</v>
      </c>
      <c r="E81" s="3">
        <f>SUM((('BOX ORDER'!G87)/1000+0.15)*'BOX ORDER'!I87)*0.01083</f>
        <v>0</v>
      </c>
      <c r="F81" s="3">
        <f>SUM((('BOX ORDER'!H87)/1000+0.15)*'BOX ORDER'!J87)*10.83</f>
        <v>0</v>
      </c>
      <c r="G81" s="1">
        <f t="shared" si="1"/>
        <v>0</v>
      </c>
      <c r="H81" s="1"/>
      <c r="I81" s="1"/>
      <c r="J81" s="1"/>
      <c r="K81" s="4"/>
    </row>
    <row r="82" spans="1:11" ht="18" x14ac:dyDescent="0.25">
      <c r="A82" s="1">
        <v>81</v>
      </c>
      <c r="B82" s="1">
        <f>ROUNDUP('BOX ORDER'!H88,-1)</f>
        <v>0</v>
      </c>
      <c r="C82" s="1">
        <f>ROUNDUP('BOX ORDER'!I88,-1)</f>
        <v>0</v>
      </c>
      <c r="D82" s="3">
        <f>SUM((('BOX ORDER'!G88)/1000+0.15)*'BOX ORDER'!H88)*0.01083</f>
        <v>0</v>
      </c>
      <c r="E82" s="3">
        <f>SUM((('BOX ORDER'!G88)/1000+0.15)*'BOX ORDER'!I88)*0.01083</f>
        <v>0</v>
      </c>
      <c r="F82" s="3">
        <f>SUM((('BOX ORDER'!H88)/1000+0.15)*'BOX ORDER'!J88)*10.83</f>
        <v>0</v>
      </c>
      <c r="G82" s="1">
        <f t="shared" si="1"/>
        <v>0</v>
      </c>
      <c r="H82" s="1"/>
      <c r="I82" s="1"/>
      <c r="J82" s="1"/>
      <c r="K82" s="4"/>
    </row>
    <row r="83" spans="1:11" ht="18" x14ac:dyDescent="0.25">
      <c r="A83" s="1">
        <v>82</v>
      </c>
      <c r="B83" s="1">
        <f>ROUNDUP('BOX ORDER'!H89,-1)</f>
        <v>0</v>
      </c>
      <c r="C83" s="1">
        <f>ROUNDUP('BOX ORDER'!I89,-1)</f>
        <v>0</v>
      </c>
      <c r="D83" s="3">
        <f>SUM((('BOX ORDER'!G89)/1000+0.15)*'BOX ORDER'!H89)*0.01083</f>
        <v>0</v>
      </c>
      <c r="E83" s="3">
        <f>SUM((('BOX ORDER'!G89)/1000+0.15)*'BOX ORDER'!I89)*0.01083</f>
        <v>0</v>
      </c>
      <c r="F83" s="3">
        <f>SUM((('BOX ORDER'!H89)/1000+0.15)*'BOX ORDER'!J89)*10.83</f>
        <v>0</v>
      </c>
      <c r="G83" s="1">
        <f t="shared" si="1"/>
        <v>0</v>
      </c>
      <c r="H83" s="1"/>
      <c r="I83" s="1"/>
      <c r="J83" s="1"/>
      <c r="K83" s="4"/>
    </row>
    <row r="84" spans="1:11" ht="18" x14ac:dyDescent="0.25">
      <c r="A84" s="1">
        <v>83</v>
      </c>
      <c r="B84" s="1">
        <f>ROUNDUP('BOX ORDER'!H90,-1)</f>
        <v>0</v>
      </c>
      <c r="C84" s="1">
        <f>ROUNDUP('BOX ORDER'!I90,-1)</f>
        <v>0</v>
      </c>
      <c r="D84" s="3">
        <f>SUM((('BOX ORDER'!G90)/1000+0.15)*'BOX ORDER'!H90)*0.01083</f>
        <v>0</v>
      </c>
      <c r="E84" s="3">
        <f>SUM((('BOX ORDER'!G90)/1000+0.15)*'BOX ORDER'!I90)*0.01083</f>
        <v>0</v>
      </c>
      <c r="F84" s="3">
        <f>SUM((('BOX ORDER'!H90)/1000+0.15)*'BOX ORDER'!J90)*10.83</f>
        <v>0</v>
      </c>
      <c r="G84" s="1">
        <f t="shared" si="1"/>
        <v>0</v>
      </c>
      <c r="H84" s="1"/>
      <c r="I84" s="1"/>
      <c r="J84" s="1"/>
      <c r="K84" s="4"/>
    </row>
    <row r="85" spans="1:11" ht="18" x14ac:dyDescent="0.25">
      <c r="A85" s="1">
        <v>84</v>
      </c>
      <c r="B85" s="1">
        <f>ROUNDUP('BOX ORDER'!H91,-1)</f>
        <v>0</v>
      </c>
      <c r="C85" s="1">
        <f>ROUNDUP('BOX ORDER'!I91,-1)</f>
        <v>0</v>
      </c>
      <c r="D85" s="3">
        <f>SUM((('BOX ORDER'!G91)/1000+0.15)*'BOX ORDER'!H91)*0.01083</f>
        <v>0</v>
      </c>
      <c r="E85" s="3">
        <f>SUM((('BOX ORDER'!G91)/1000+0.15)*'BOX ORDER'!I91)*0.01083</f>
        <v>0</v>
      </c>
      <c r="F85" s="3">
        <f>SUM((('BOX ORDER'!H91)/1000+0.15)*'BOX ORDER'!J91)*10.83</f>
        <v>0</v>
      </c>
      <c r="G85" s="1">
        <f t="shared" ref="G85:G98" si="2">SUM(D85:F85)</f>
        <v>0</v>
      </c>
      <c r="H85" s="1"/>
      <c r="I85" s="1"/>
      <c r="J85" s="1"/>
      <c r="K85" s="4"/>
    </row>
    <row r="86" spans="1:11" ht="18" x14ac:dyDescent="0.25">
      <c r="A86" s="1">
        <v>85</v>
      </c>
      <c r="B86" s="1">
        <f>ROUNDUP('BOX ORDER'!H92,-1)</f>
        <v>0</v>
      </c>
      <c r="C86" s="1">
        <f>ROUNDUP('BOX ORDER'!I92,-1)</f>
        <v>0</v>
      </c>
      <c r="D86" s="3">
        <f>SUM((('BOX ORDER'!G92)/1000+0.15)*'BOX ORDER'!H92)*0.01083</f>
        <v>0</v>
      </c>
      <c r="E86" s="3">
        <f>SUM((('BOX ORDER'!G92)/1000+0.15)*'BOX ORDER'!I92)*0.01083</f>
        <v>0</v>
      </c>
      <c r="F86" s="3">
        <f>SUM((('BOX ORDER'!H92)/1000+0.15)*'BOX ORDER'!J92)*10.83</f>
        <v>0</v>
      </c>
      <c r="G86" s="1">
        <f t="shared" si="2"/>
        <v>0</v>
      </c>
      <c r="H86" s="1"/>
      <c r="I86" s="1"/>
      <c r="J86" s="1"/>
      <c r="K86" s="4"/>
    </row>
    <row r="87" spans="1:11" ht="18" x14ac:dyDescent="0.25">
      <c r="A87" s="1">
        <v>86</v>
      </c>
      <c r="B87" s="1">
        <f>ROUNDUP('BOX ORDER'!H93,-1)</f>
        <v>0</v>
      </c>
      <c r="C87" s="1">
        <f>ROUNDUP('BOX ORDER'!I93,-1)</f>
        <v>0</v>
      </c>
      <c r="D87" s="3">
        <f>SUM((('BOX ORDER'!G93)/1000+0.15)*'BOX ORDER'!H93)*0.01083</f>
        <v>0</v>
      </c>
      <c r="E87" s="3">
        <f>SUM((('BOX ORDER'!G93)/1000+0.15)*'BOX ORDER'!I93)*0.01083</f>
        <v>0</v>
      </c>
      <c r="F87" s="3">
        <f>SUM((('BOX ORDER'!H93)/1000+0.15)*'BOX ORDER'!J93)*10.83</f>
        <v>0</v>
      </c>
      <c r="G87" s="1">
        <f t="shared" si="2"/>
        <v>0</v>
      </c>
      <c r="H87" s="1"/>
      <c r="I87" s="1"/>
      <c r="J87" s="1"/>
      <c r="K87" s="4"/>
    </row>
    <row r="88" spans="1:11" ht="18" x14ac:dyDescent="0.25">
      <c r="A88" s="1">
        <v>87</v>
      </c>
      <c r="B88" s="1">
        <f>ROUNDUP('BOX ORDER'!H94,-1)</f>
        <v>0</v>
      </c>
      <c r="C88" s="1">
        <f>ROUNDUP('BOX ORDER'!I94,-1)</f>
        <v>0</v>
      </c>
      <c r="D88" s="3">
        <f>SUM((('BOX ORDER'!G94)/1000+0.15)*'BOX ORDER'!H94)*0.01083</f>
        <v>0</v>
      </c>
      <c r="E88" s="3">
        <f>SUM((('BOX ORDER'!G94)/1000+0.15)*'BOX ORDER'!I94)*0.01083</f>
        <v>0</v>
      </c>
      <c r="F88" s="3">
        <f>SUM((('BOX ORDER'!H94)/1000+0.15)*'BOX ORDER'!J94)*10.83</f>
        <v>0</v>
      </c>
      <c r="G88" s="1">
        <f t="shared" si="2"/>
        <v>0</v>
      </c>
      <c r="H88" s="1"/>
      <c r="I88" s="1"/>
      <c r="J88" s="1"/>
      <c r="K88" s="4"/>
    </row>
    <row r="89" spans="1:11" ht="18" x14ac:dyDescent="0.25">
      <c r="A89" s="1">
        <v>88</v>
      </c>
      <c r="B89" s="1">
        <f>ROUNDUP('BOX ORDER'!H95,-1)</f>
        <v>0</v>
      </c>
      <c r="C89" s="1">
        <f>ROUNDUP('BOX ORDER'!I95,-1)</f>
        <v>0</v>
      </c>
      <c r="D89" s="3">
        <f>SUM((('BOX ORDER'!G95)/1000+0.15)*'BOX ORDER'!H95)*0.01083</f>
        <v>0</v>
      </c>
      <c r="E89" s="3">
        <f>SUM((('BOX ORDER'!G95)/1000+0.15)*'BOX ORDER'!I95)*0.01083</f>
        <v>0</v>
      </c>
      <c r="F89" s="3">
        <f>SUM((('BOX ORDER'!H95)/1000+0.15)*'BOX ORDER'!J95)*10.83</f>
        <v>0</v>
      </c>
      <c r="G89" s="1">
        <f t="shared" si="2"/>
        <v>0</v>
      </c>
      <c r="H89" s="1"/>
      <c r="I89" s="1"/>
      <c r="J89" s="1"/>
      <c r="K89" s="4"/>
    </row>
    <row r="90" spans="1:11" ht="18" x14ac:dyDescent="0.25">
      <c r="A90" s="1">
        <v>89</v>
      </c>
      <c r="B90" s="1">
        <f>ROUNDUP('BOX ORDER'!H96,-1)</f>
        <v>0</v>
      </c>
      <c r="C90" s="1">
        <f>ROUNDUP('BOX ORDER'!I96,-1)</f>
        <v>0</v>
      </c>
      <c r="D90" s="3">
        <f>SUM((('BOX ORDER'!G96)/1000+0.15)*'BOX ORDER'!H96)*0.01083</f>
        <v>0</v>
      </c>
      <c r="E90" s="3">
        <f>SUM((('BOX ORDER'!G96)/1000+0.15)*'BOX ORDER'!I96)*0.01083</f>
        <v>0</v>
      </c>
      <c r="F90" s="3">
        <f>SUM((('BOX ORDER'!H96)/1000+0.15)*'BOX ORDER'!J96)*10.83</f>
        <v>0</v>
      </c>
      <c r="G90" s="1">
        <f t="shared" si="2"/>
        <v>0</v>
      </c>
      <c r="H90" s="1"/>
      <c r="I90" s="1"/>
      <c r="J90" s="1"/>
      <c r="K90" s="4"/>
    </row>
    <row r="91" spans="1:11" ht="18" x14ac:dyDescent="0.25">
      <c r="A91" s="1">
        <v>90</v>
      </c>
      <c r="B91" s="1">
        <f>ROUNDUP('BOX ORDER'!H97,-1)</f>
        <v>0</v>
      </c>
      <c r="C91" s="1">
        <f>ROUNDUP('BOX ORDER'!I97,-1)</f>
        <v>0</v>
      </c>
      <c r="D91" s="3">
        <f>SUM((('BOX ORDER'!G97)/1000+0.15)*'BOX ORDER'!H97)*0.01083</f>
        <v>0</v>
      </c>
      <c r="E91" s="3">
        <f>SUM((('BOX ORDER'!G97)/1000+0.15)*'BOX ORDER'!I97)*0.01083</f>
        <v>0</v>
      </c>
      <c r="F91" s="3">
        <f>SUM((('BOX ORDER'!H97)/1000+0.15)*'BOX ORDER'!J97)*10.83</f>
        <v>0</v>
      </c>
      <c r="G91" s="1">
        <f t="shared" si="2"/>
        <v>0</v>
      </c>
      <c r="H91" s="1"/>
      <c r="I91" s="1"/>
      <c r="J91" s="1"/>
      <c r="K91" s="4"/>
    </row>
    <row r="92" spans="1:11" ht="18" x14ac:dyDescent="0.25">
      <c r="A92" s="1">
        <v>91</v>
      </c>
      <c r="B92" s="1">
        <f>ROUNDUP('BOX ORDER'!H98,-1)</f>
        <v>0</v>
      </c>
      <c r="C92" s="1">
        <f>ROUNDUP('BOX ORDER'!I98,-1)</f>
        <v>0</v>
      </c>
      <c r="D92" s="3">
        <f>SUM((('BOX ORDER'!G98)/1000+0.15)*'BOX ORDER'!H98)*0.01083</f>
        <v>0</v>
      </c>
      <c r="E92" s="3">
        <f>SUM((('BOX ORDER'!G98)/1000+0.15)*'BOX ORDER'!I98)*0.01083</f>
        <v>0</v>
      </c>
      <c r="F92" s="3">
        <f>SUM((('BOX ORDER'!H98)/1000+0.15)*'BOX ORDER'!J98)*10.83</f>
        <v>0</v>
      </c>
      <c r="G92" s="1">
        <f t="shared" si="2"/>
        <v>0</v>
      </c>
      <c r="H92" s="1"/>
      <c r="I92" s="1"/>
      <c r="J92" s="1"/>
      <c r="K92" s="4"/>
    </row>
    <row r="93" spans="1:11" ht="18" x14ac:dyDescent="0.25">
      <c r="A93" s="1">
        <v>92</v>
      </c>
      <c r="B93" s="1">
        <f>ROUNDUP('BOX ORDER'!H99,-1)</f>
        <v>0</v>
      </c>
      <c r="C93" s="1">
        <f>ROUNDUP('BOX ORDER'!I99,-1)</f>
        <v>0</v>
      </c>
      <c r="D93" s="3">
        <f>SUM((('BOX ORDER'!G99)/1000+0.15)*'BOX ORDER'!H99)*0.01083</f>
        <v>0</v>
      </c>
      <c r="E93" s="3">
        <f>SUM((('BOX ORDER'!G99)/1000+0.15)*'BOX ORDER'!I99)*0.01083</f>
        <v>0</v>
      </c>
      <c r="F93" s="3">
        <f>SUM((('BOX ORDER'!H99)/1000+0.15)*'BOX ORDER'!J99)*10.83</f>
        <v>0</v>
      </c>
      <c r="G93" s="1">
        <f t="shared" si="2"/>
        <v>0</v>
      </c>
      <c r="H93" s="1"/>
      <c r="I93" s="1"/>
      <c r="J93" s="1"/>
      <c r="K93" s="4"/>
    </row>
    <row r="94" spans="1:11" ht="18" x14ac:dyDescent="0.25">
      <c r="A94" s="1">
        <v>93</v>
      </c>
      <c r="B94" s="1">
        <f>ROUNDUP('BOX ORDER'!H100,-1)</f>
        <v>0</v>
      </c>
      <c r="C94" s="1">
        <f>ROUNDUP('BOX ORDER'!I100,-1)</f>
        <v>0</v>
      </c>
      <c r="D94" s="3">
        <f>SUM((('BOX ORDER'!G100)/1000+0.15)*'BOX ORDER'!H100)*0.01083</f>
        <v>0</v>
      </c>
      <c r="E94" s="3">
        <f>SUM((('BOX ORDER'!G100)/1000+0.15)*'BOX ORDER'!I100)*0.01083</f>
        <v>0</v>
      </c>
      <c r="F94" s="3">
        <f>SUM((('BOX ORDER'!H100)/1000+0.15)*'BOX ORDER'!J100)*10.83</f>
        <v>0</v>
      </c>
      <c r="G94" s="1">
        <f t="shared" si="2"/>
        <v>0</v>
      </c>
      <c r="H94" s="1"/>
      <c r="I94" s="1"/>
      <c r="J94" s="1"/>
      <c r="K94" s="4"/>
    </row>
    <row r="95" spans="1:11" ht="18" x14ac:dyDescent="0.25">
      <c r="A95" s="1">
        <v>94</v>
      </c>
      <c r="B95" s="1">
        <f>ROUNDUP('BOX ORDER'!H101,-1)</f>
        <v>0</v>
      </c>
      <c r="C95" s="1">
        <f>ROUNDUP('BOX ORDER'!I101,-1)</f>
        <v>0</v>
      </c>
      <c r="D95" s="3">
        <f>SUM((('BOX ORDER'!G101)/1000+0.15)*'BOX ORDER'!H101)*0.01083</f>
        <v>0</v>
      </c>
      <c r="E95" s="3">
        <f>SUM((('BOX ORDER'!G101)/1000+0.15)*'BOX ORDER'!I101)*0.01083</f>
        <v>0</v>
      </c>
      <c r="F95" s="3">
        <f>SUM((('BOX ORDER'!H101)/1000+0.15)*'BOX ORDER'!J101)*10.83</f>
        <v>0</v>
      </c>
      <c r="G95" s="1">
        <f t="shared" si="2"/>
        <v>0</v>
      </c>
      <c r="H95" s="1"/>
      <c r="I95" s="1"/>
      <c r="J95" s="1"/>
      <c r="K95" s="4"/>
    </row>
    <row r="96" spans="1:11" ht="18" x14ac:dyDescent="0.25">
      <c r="A96" s="1">
        <v>95</v>
      </c>
      <c r="B96" s="1">
        <f>ROUNDUP('BOX ORDER'!H102,-1)</f>
        <v>0</v>
      </c>
      <c r="C96" s="1">
        <f>ROUNDUP('BOX ORDER'!I102,-1)</f>
        <v>0</v>
      </c>
      <c r="D96" s="3">
        <f>SUM((('BOX ORDER'!G102)/1000+0.15)*'BOX ORDER'!H102)*0.01083</f>
        <v>0</v>
      </c>
      <c r="E96" s="3">
        <f>SUM((('BOX ORDER'!G102)/1000+0.15)*'BOX ORDER'!I102)*0.01083</f>
        <v>0</v>
      </c>
      <c r="F96" s="3">
        <f>SUM((('BOX ORDER'!H102)/1000+0.15)*'BOX ORDER'!J102)*10.83</f>
        <v>0</v>
      </c>
      <c r="G96" s="1">
        <f t="shared" si="2"/>
        <v>0</v>
      </c>
      <c r="H96" s="1"/>
      <c r="I96" s="1"/>
      <c r="J96" s="1"/>
      <c r="K96" s="4"/>
    </row>
    <row r="97" spans="1:11" ht="18" x14ac:dyDescent="0.25">
      <c r="A97" s="1">
        <v>96</v>
      </c>
      <c r="B97" s="1">
        <f>ROUNDUP('BOX ORDER'!H103,-1)</f>
        <v>0</v>
      </c>
      <c r="C97" s="1">
        <f>ROUNDUP('BOX ORDER'!I103,-1)</f>
        <v>0</v>
      </c>
      <c r="D97" s="3">
        <f>SUM((('BOX ORDER'!G103)/1000+0.15)*'BOX ORDER'!H103)*0.01083</f>
        <v>0</v>
      </c>
      <c r="E97" s="3">
        <f>SUM((('BOX ORDER'!G103)/1000+0.15)*'BOX ORDER'!I103)*0.01083</f>
        <v>0</v>
      </c>
      <c r="F97" s="3">
        <f>SUM((('BOX ORDER'!H103)/1000+0.15)*'BOX ORDER'!J103)*10.83</f>
        <v>0</v>
      </c>
      <c r="G97" s="1">
        <f t="shared" si="2"/>
        <v>0</v>
      </c>
      <c r="H97" s="1"/>
      <c r="I97" s="1"/>
      <c r="J97" s="1"/>
      <c r="K97" s="4"/>
    </row>
    <row r="98" spans="1:11" ht="18.600000000000001" customHeight="1" x14ac:dyDescent="0.25">
      <c r="A98" s="1">
        <v>97</v>
      </c>
      <c r="B98" s="1">
        <f>ROUNDUP('BOX ORDER'!H104,-1)</f>
        <v>0</v>
      </c>
      <c r="C98" s="1">
        <f>ROUNDUP('BOX ORDER'!I104,-1)</f>
        <v>0</v>
      </c>
      <c r="D98" s="3">
        <f>SUM((('BOX ORDER'!G104)/1000+0.15)*'BOX ORDER'!H104)*0.01083</f>
        <v>0</v>
      </c>
      <c r="E98" s="3">
        <f>SUM((('BOX ORDER'!G104)/1000+0.15)*'BOX ORDER'!I104)*0.01083</f>
        <v>0</v>
      </c>
      <c r="F98" s="3">
        <f>SUM((('BOX ORDER'!H104)/1000+0.15)*'BOX ORDER'!J104)*10.83</f>
        <v>0</v>
      </c>
      <c r="G98" s="1">
        <f t="shared" si="2"/>
        <v>0</v>
      </c>
      <c r="H98" s="1"/>
      <c r="I98" s="1"/>
      <c r="J98" s="1"/>
      <c r="K98" s="4"/>
    </row>
    <row r="99" spans="1:11" ht="18.600000000000001" customHeight="1" x14ac:dyDescent="0.25">
      <c r="A99" s="1">
        <v>98</v>
      </c>
      <c r="B99" s="1">
        <f>ROUNDUP('BOX ORDER'!H105,-1)</f>
        <v>0</v>
      </c>
      <c r="C99" s="1">
        <f>ROUNDUP('BOX ORDER'!I105,-1)</f>
        <v>0</v>
      </c>
      <c r="D99" s="3">
        <f>SUM((('BOX ORDER'!G105)/1000+0.15)*'BOX ORDER'!H105)*0.01083</f>
        <v>0</v>
      </c>
      <c r="E99" s="3">
        <f>SUM((('BOX ORDER'!G105)/1000+0.15)*'BOX ORDER'!I105)*0.01083</f>
        <v>0</v>
      </c>
      <c r="F99" s="3">
        <f>SUM((('BOX ORDER'!H105)/1000+0.15)*'BOX ORDER'!J105)*10.83</f>
        <v>0</v>
      </c>
      <c r="G99" s="1">
        <f t="shared" ref="G99:G111" si="3">SUM(D99:F99)</f>
        <v>0</v>
      </c>
      <c r="H99" s="1"/>
      <c r="I99" s="1"/>
      <c r="J99" s="1"/>
      <c r="K99" s="4"/>
    </row>
    <row r="100" spans="1:11" ht="18.600000000000001" customHeight="1" x14ac:dyDescent="0.25">
      <c r="A100" s="1">
        <v>99</v>
      </c>
      <c r="B100" s="1">
        <f>ROUNDUP('BOX ORDER'!H106,-1)</f>
        <v>0</v>
      </c>
      <c r="C100" s="1">
        <f>ROUNDUP('BOX ORDER'!I106,-1)</f>
        <v>0</v>
      </c>
      <c r="D100" s="3">
        <f>SUM((('BOX ORDER'!G106)/1000+0.15)*'BOX ORDER'!H106)*0.01083</f>
        <v>0</v>
      </c>
      <c r="E100" s="3">
        <f>SUM((('BOX ORDER'!G106)/1000+0.15)*'BOX ORDER'!I106)*0.01083</f>
        <v>0</v>
      </c>
      <c r="F100" s="3">
        <f>SUM((('BOX ORDER'!H106)/1000+0.15)*'BOX ORDER'!J106)*10.83</f>
        <v>0</v>
      </c>
      <c r="G100" s="1">
        <f t="shared" si="3"/>
        <v>0</v>
      </c>
      <c r="H100" s="1"/>
      <c r="I100" s="1"/>
      <c r="J100" s="1"/>
      <c r="K100" s="4"/>
    </row>
    <row r="101" spans="1:11" ht="18.600000000000001" customHeight="1" x14ac:dyDescent="0.25">
      <c r="A101" s="1">
        <v>100</v>
      </c>
      <c r="B101" s="1">
        <f>ROUNDUP('BOX ORDER'!H107,-1)</f>
        <v>0</v>
      </c>
      <c r="C101" s="1">
        <f>ROUNDUP('BOX ORDER'!I107,-1)</f>
        <v>0</v>
      </c>
      <c r="D101" s="3">
        <f>SUM((('BOX ORDER'!G107)/1000+0.15)*'BOX ORDER'!H107)*0.01083</f>
        <v>0</v>
      </c>
      <c r="E101" s="3">
        <f>SUM((('BOX ORDER'!G107)/1000+0.15)*'BOX ORDER'!I107)*0.01083</f>
        <v>0</v>
      </c>
      <c r="F101" s="3">
        <f>SUM((('BOX ORDER'!H107)/1000+0.15)*'BOX ORDER'!J107)*10.83</f>
        <v>0</v>
      </c>
      <c r="G101" s="1">
        <f t="shared" si="3"/>
        <v>0</v>
      </c>
      <c r="H101" s="1"/>
      <c r="I101" s="1"/>
      <c r="J101" s="1"/>
      <c r="K101" s="4"/>
    </row>
    <row r="102" spans="1:11" ht="18.600000000000001" customHeight="1" x14ac:dyDescent="0.25">
      <c r="A102" s="1">
        <v>101</v>
      </c>
      <c r="B102" s="1">
        <f>ROUNDUP('BOX ORDER'!H108,-1)</f>
        <v>0</v>
      </c>
      <c r="C102" s="1">
        <f>ROUNDUP('BOX ORDER'!I108,-1)</f>
        <v>0</v>
      </c>
      <c r="D102" s="3">
        <f>SUM((('BOX ORDER'!G108)/1000+0.15)*'BOX ORDER'!H108)*0.01083</f>
        <v>0</v>
      </c>
      <c r="E102" s="3">
        <f>SUM((('BOX ORDER'!G108)/1000+0.15)*'BOX ORDER'!I108)*0.01083</f>
        <v>0</v>
      </c>
      <c r="F102" s="3">
        <f>SUM((('BOX ORDER'!H108)/1000+0.15)*'BOX ORDER'!J108)*10.83</f>
        <v>0</v>
      </c>
      <c r="G102" s="1">
        <f t="shared" si="3"/>
        <v>0</v>
      </c>
      <c r="H102" s="1"/>
      <c r="I102" s="1"/>
      <c r="J102" s="1"/>
      <c r="K102" s="4"/>
    </row>
    <row r="103" spans="1:11" ht="18.600000000000001" customHeight="1" x14ac:dyDescent="0.25">
      <c r="A103" s="1">
        <v>102</v>
      </c>
      <c r="B103" s="1">
        <f>ROUNDUP('BOX ORDER'!H109,-1)</f>
        <v>0</v>
      </c>
      <c r="C103" s="1">
        <f>ROUNDUP('BOX ORDER'!I109,-1)</f>
        <v>0</v>
      </c>
      <c r="D103" s="3">
        <f>SUM((('BOX ORDER'!G109)/1000+0.15)*'BOX ORDER'!H109)*0.01083</f>
        <v>0</v>
      </c>
      <c r="E103" s="3">
        <f>SUM((('BOX ORDER'!G109)/1000+0.15)*'BOX ORDER'!I109)*0.01083</f>
        <v>0</v>
      </c>
      <c r="F103" s="3">
        <f>SUM((('BOX ORDER'!H109)/1000+0.15)*'BOX ORDER'!J109)*10.83</f>
        <v>0</v>
      </c>
      <c r="G103" s="1">
        <f t="shared" si="3"/>
        <v>0</v>
      </c>
      <c r="H103" s="1"/>
      <c r="I103" s="1"/>
      <c r="J103" s="1"/>
      <c r="K103" s="4"/>
    </row>
    <row r="104" spans="1:11" ht="18.600000000000001" customHeight="1" x14ac:dyDescent="0.25">
      <c r="A104" s="1">
        <v>103</v>
      </c>
      <c r="B104" s="1">
        <f>ROUNDUP('BOX ORDER'!H110,-1)</f>
        <v>0</v>
      </c>
      <c r="C104" s="1">
        <f>ROUNDUP('BOX ORDER'!I110,-1)</f>
        <v>0</v>
      </c>
      <c r="D104" s="3">
        <f>SUM((('BOX ORDER'!G110)/1000+0.15)*'BOX ORDER'!H110)*0.01083</f>
        <v>0</v>
      </c>
      <c r="E104" s="3">
        <f>SUM((('BOX ORDER'!G110)/1000+0.15)*'BOX ORDER'!I110)*0.01083</f>
        <v>0</v>
      </c>
      <c r="F104" s="3">
        <f>SUM((('BOX ORDER'!H110)/1000+0.15)*'BOX ORDER'!J110)*10.83</f>
        <v>0</v>
      </c>
      <c r="G104" s="1">
        <f t="shared" si="3"/>
        <v>0</v>
      </c>
      <c r="H104" s="1"/>
      <c r="I104" s="1"/>
      <c r="J104" s="1"/>
      <c r="K104" s="4"/>
    </row>
    <row r="105" spans="1:11" ht="18.600000000000001" customHeight="1" x14ac:dyDescent="0.25">
      <c r="A105" s="1">
        <v>104</v>
      </c>
      <c r="B105" s="1">
        <f>ROUNDUP('BOX ORDER'!H111,-1)</f>
        <v>0</v>
      </c>
      <c r="C105" s="1">
        <f>ROUNDUP('BOX ORDER'!I111,-1)</f>
        <v>0</v>
      </c>
      <c r="D105" s="3">
        <f>SUM((('BOX ORDER'!G111)/1000+0.15)*'BOX ORDER'!H111)*0.01083</f>
        <v>0</v>
      </c>
      <c r="E105" s="3">
        <f>SUM((('BOX ORDER'!G111)/1000+0.15)*'BOX ORDER'!I111)*0.01083</f>
        <v>0</v>
      </c>
      <c r="F105" s="3">
        <f>SUM((('BOX ORDER'!H111)/1000+0.15)*'BOX ORDER'!J111)*10.83</f>
        <v>0</v>
      </c>
      <c r="G105" s="1">
        <f t="shared" si="3"/>
        <v>0</v>
      </c>
      <c r="H105" s="1"/>
      <c r="I105" s="1"/>
      <c r="J105" s="1"/>
      <c r="K105" s="4"/>
    </row>
    <row r="106" spans="1:11" ht="18.600000000000001" customHeight="1" x14ac:dyDescent="0.25">
      <c r="A106" s="1">
        <v>105</v>
      </c>
      <c r="B106" s="1">
        <f>ROUNDUP('BOX ORDER'!H112,-1)</f>
        <v>0</v>
      </c>
      <c r="C106" s="1">
        <f>ROUNDUP('BOX ORDER'!I112,-1)</f>
        <v>0</v>
      </c>
      <c r="D106" s="3">
        <f>SUM((('BOX ORDER'!G112)/1000+0.15)*'BOX ORDER'!H112)*0.01083</f>
        <v>0</v>
      </c>
      <c r="E106" s="3">
        <f>SUM((('BOX ORDER'!G112)/1000+0.15)*'BOX ORDER'!I112)*0.01083</f>
        <v>0</v>
      </c>
      <c r="F106" s="3">
        <f>SUM((('BOX ORDER'!H112)/1000+0.15)*'BOX ORDER'!J112)*10.83</f>
        <v>0</v>
      </c>
      <c r="G106" s="1">
        <f t="shared" si="3"/>
        <v>0</v>
      </c>
      <c r="H106" s="1"/>
      <c r="I106" s="1"/>
      <c r="J106" s="1"/>
      <c r="K106" s="4"/>
    </row>
    <row r="107" spans="1:11" ht="18.600000000000001" customHeight="1" x14ac:dyDescent="0.25">
      <c r="A107" s="1">
        <v>106</v>
      </c>
      <c r="B107" s="1">
        <f>ROUNDUP('BOX ORDER'!H113,-1)</f>
        <v>0</v>
      </c>
      <c r="C107" s="1">
        <f>ROUNDUP('BOX ORDER'!I113,-1)</f>
        <v>0</v>
      </c>
      <c r="D107" s="3">
        <f>SUM((('BOX ORDER'!G113)/1000+0.15)*'BOX ORDER'!H113)*0.01083</f>
        <v>0</v>
      </c>
      <c r="E107" s="3">
        <f>SUM((('BOX ORDER'!G113)/1000+0.15)*'BOX ORDER'!I113)*0.01083</f>
        <v>0</v>
      </c>
      <c r="F107" s="3">
        <f>SUM((('BOX ORDER'!H113)/1000+0.15)*'BOX ORDER'!J113)*10.83</f>
        <v>0</v>
      </c>
      <c r="G107" s="1">
        <f t="shared" si="3"/>
        <v>0</v>
      </c>
      <c r="H107" s="1"/>
      <c r="I107" s="1"/>
      <c r="J107" s="1"/>
      <c r="K107" s="4"/>
    </row>
    <row r="108" spans="1:11" ht="18.600000000000001" customHeight="1" x14ac:dyDescent="0.25">
      <c r="A108" s="1">
        <v>107</v>
      </c>
      <c r="B108" s="1">
        <f>ROUNDUP('BOX ORDER'!H114,-1)</f>
        <v>0</v>
      </c>
      <c r="C108" s="1">
        <f>ROUNDUP('BOX ORDER'!I114,-1)</f>
        <v>0</v>
      </c>
      <c r="D108" s="3">
        <f>SUM((('BOX ORDER'!G114)/1000+0.15)*'BOX ORDER'!H114)*0.01083</f>
        <v>0</v>
      </c>
      <c r="E108" s="3">
        <f>SUM((('BOX ORDER'!G114)/1000+0.15)*'BOX ORDER'!I114)*0.01083</f>
        <v>0</v>
      </c>
      <c r="F108" s="3">
        <f>SUM((('BOX ORDER'!H114)/1000+0.15)*'BOX ORDER'!J114)*10.83</f>
        <v>0</v>
      </c>
      <c r="G108" s="1">
        <f t="shared" si="3"/>
        <v>0</v>
      </c>
      <c r="H108" s="1"/>
      <c r="I108" s="1"/>
      <c r="J108" s="1"/>
      <c r="K108" s="4"/>
    </row>
    <row r="109" spans="1:11" ht="18.600000000000001" customHeight="1" x14ac:dyDescent="0.25">
      <c r="A109" s="1">
        <v>108</v>
      </c>
      <c r="B109" s="1">
        <f>ROUNDUP('BOX ORDER'!H115,-1)</f>
        <v>0</v>
      </c>
      <c r="C109" s="1">
        <f>ROUNDUP('BOX ORDER'!I115,-1)</f>
        <v>0</v>
      </c>
      <c r="D109" s="3">
        <f>SUM((('BOX ORDER'!G115)/1000+0.15)*'BOX ORDER'!H115)*0.01083</f>
        <v>0</v>
      </c>
      <c r="E109" s="3">
        <f>SUM((('BOX ORDER'!G115)/1000+0.15)*'BOX ORDER'!I115)*0.01083</f>
        <v>0</v>
      </c>
      <c r="F109" s="3">
        <f>SUM((('BOX ORDER'!H115)/1000+0.15)*'BOX ORDER'!J115)*10.83</f>
        <v>0</v>
      </c>
      <c r="G109" s="1">
        <f t="shared" si="3"/>
        <v>0</v>
      </c>
      <c r="H109" s="1"/>
      <c r="I109" s="1"/>
      <c r="J109" s="1"/>
      <c r="K109" s="4"/>
    </row>
    <row r="110" spans="1:11" ht="18.600000000000001" customHeight="1" x14ac:dyDescent="0.25">
      <c r="A110" s="1">
        <v>109</v>
      </c>
      <c r="B110" s="1">
        <f>ROUNDUP('BOX ORDER'!H116,-1)</f>
        <v>0</v>
      </c>
      <c r="C110" s="1">
        <f>ROUNDUP('BOX ORDER'!I116,-1)</f>
        <v>0</v>
      </c>
      <c r="D110" s="3">
        <f>SUM((('BOX ORDER'!G116)/1000+0.15)*'BOX ORDER'!H116)*0.01083</f>
        <v>0</v>
      </c>
      <c r="E110" s="3">
        <f>SUM((('BOX ORDER'!G116)/1000+0.15)*'BOX ORDER'!I116)*0.01083</f>
        <v>0</v>
      </c>
      <c r="F110" s="3">
        <f>SUM((('BOX ORDER'!H116)/1000+0.15)*'BOX ORDER'!J116)*10.83</f>
        <v>0</v>
      </c>
      <c r="G110" s="1">
        <f t="shared" si="3"/>
        <v>0</v>
      </c>
      <c r="H110" s="1"/>
      <c r="I110" s="1"/>
      <c r="J110" s="1"/>
      <c r="K110" s="4"/>
    </row>
    <row r="111" spans="1:11" ht="18.600000000000001" customHeight="1" x14ac:dyDescent="0.25">
      <c r="A111" s="1">
        <v>110</v>
      </c>
      <c r="B111" s="1">
        <f>ROUNDUP('BOX ORDER'!H117,-1)</f>
        <v>0</v>
      </c>
      <c r="C111" s="1">
        <f>ROUNDUP('BOX ORDER'!I117,-1)</f>
        <v>0</v>
      </c>
      <c r="D111" s="3">
        <f>SUM((('BOX ORDER'!G117)/1000+0.15)*'BOX ORDER'!H117)*0.01083</f>
        <v>0</v>
      </c>
      <c r="E111" s="3">
        <f>SUM((('BOX ORDER'!G117)/1000+0.15)*'BOX ORDER'!I117)*0.01083</f>
        <v>0</v>
      </c>
      <c r="F111" s="3">
        <f>SUM((('BOX ORDER'!H117)/1000+0.15)*'BOX ORDER'!J117)*10.83</f>
        <v>0</v>
      </c>
      <c r="G111" s="1">
        <f t="shared" si="3"/>
        <v>0</v>
      </c>
      <c r="H111" s="1"/>
      <c r="I111" s="1"/>
      <c r="J111" s="1"/>
      <c r="K111" s="4"/>
    </row>
    <row r="112" spans="1:1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6"/>
    </row>
    <row r="113" spans="1:11" ht="18.75" x14ac:dyDescent="0.25">
      <c r="A113" s="7" t="s">
        <v>33</v>
      </c>
      <c r="B113" s="7"/>
      <c r="C113" s="7"/>
      <c r="D113" s="7">
        <f>SUM(D2:D111)</f>
        <v>7.7975999999999992</v>
      </c>
      <c r="E113" s="7">
        <f>SUM(E2:E111)</f>
        <v>7.7975999999999992</v>
      </c>
      <c r="F113" s="7">
        <f>SUM(F2:F111)</f>
        <v>0</v>
      </c>
      <c r="G113" s="7">
        <f>SUM(G2:G111)</f>
        <v>15.595199999999998</v>
      </c>
      <c r="H113" s="7"/>
      <c r="I113" s="7"/>
      <c r="J113" s="7"/>
      <c r="K113" s="7"/>
    </row>
    <row r="114" spans="1:11" ht="81" customHeight="1" x14ac:dyDescent="0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A5DF-CB8C-4F1D-A5D1-3B1E56C78103}">
  <dimension ref="A1:A161"/>
  <sheetViews>
    <sheetView zoomScale="40" zoomScaleNormal="40" workbookViewId="0">
      <selection activeCell="A2" sqref="A2"/>
    </sheetView>
  </sheetViews>
  <sheetFormatPr defaultColWidth="66.375" defaultRowHeight="57.75" x14ac:dyDescent="0.85"/>
  <cols>
    <col min="1" max="1" width="44" style="33" customWidth="1"/>
    <col min="2" max="16384" width="66.375" style="33"/>
  </cols>
  <sheetData>
    <row r="1" spans="1:1" ht="115.5" x14ac:dyDescent="0.85">
      <c r="A1" s="75" t="s">
        <v>55</v>
      </c>
    </row>
    <row r="2" spans="1:1" ht="409.6" customHeight="1" x14ac:dyDescent="0.85">
      <c r="A2" s="32" t="str">
        <f>'BOX ORDER'!A8&amp;CHAR(10)&amp;CHAR(10)&amp;'BOX ORDER'!B8&amp;CHAR(10)&amp;'BOX ORDER'!P8&amp;CHAR(10)&amp;CHAR(10)&amp;'BOX ORDER'!E8&amp;CHAR(10)&amp;'BOX ORDER'!R8</f>
        <v>XP0096
BOX #
1
HOODS
1 &amp; 2</v>
      </c>
    </row>
    <row r="3" spans="1:1" ht="409.5" x14ac:dyDescent="0.85">
      <c r="A3" s="32" t="str">
        <f>'BOX ORDER'!A9&amp;CHAR(10)&amp;CHAR(10)&amp;'BOX ORDER'!B9&amp;CHAR(10)&amp;'BOX ORDER'!P9&amp;CHAR(10)&amp;CHAR(10)&amp;'BOX ORDER'!E9&amp;CHAR(10)&amp;'BOX ORDER'!R9</f>
        <v xml:space="preserve">
BOX #
2
HOODS
0</v>
      </c>
    </row>
    <row r="4" spans="1:1" ht="409.5" x14ac:dyDescent="0.85">
      <c r="A4" s="32" t="str">
        <f>'BOX ORDER'!A10&amp;CHAR(10)&amp;CHAR(10)&amp;'BOX ORDER'!B10&amp;CHAR(10)&amp;'BOX ORDER'!P10&amp;CHAR(10)&amp;CHAR(10)&amp;'BOX ORDER'!E10&amp;CHAR(10)&amp;'BOX ORDER'!R10</f>
        <v xml:space="preserve">
BOX #
3
HOODS
0</v>
      </c>
    </row>
    <row r="5" spans="1:1" ht="404.25" x14ac:dyDescent="0.85">
      <c r="A5" s="32" t="str">
        <f>'BOX ORDER'!A11&amp;CHAR(10)&amp;CHAR(10)&amp;'BOX ORDER'!B11&amp;CHAR(10)&amp;'BOX ORDER'!P11&amp;CHAR(10)&amp;CHAR(10)&amp;'BOX ORDER'!E11&amp;CHAR(10)&amp;'BOX ORDER'!R11</f>
        <v xml:space="preserve">
BOX #
4
HOODS
0</v>
      </c>
    </row>
    <row r="6" spans="1:1" ht="404.25" x14ac:dyDescent="0.85">
      <c r="A6" s="32" t="str">
        <f>'BOX ORDER'!A12&amp;CHAR(10)&amp;CHAR(10)&amp;'BOX ORDER'!B12&amp;CHAR(10)&amp;'BOX ORDER'!P12&amp;CHAR(10)&amp;CHAR(10)&amp;'BOX ORDER'!E12&amp;CHAR(10)&amp;'BOX ORDER'!R12</f>
        <v xml:space="preserve">
BOX #
5
HOODS
0</v>
      </c>
    </row>
    <row r="7" spans="1:1" ht="404.25" x14ac:dyDescent="0.85">
      <c r="A7" s="32" t="str">
        <f>'BOX ORDER'!A13&amp;CHAR(10)&amp;CHAR(10)&amp;'BOX ORDER'!B13&amp;CHAR(10)&amp;'BOX ORDER'!P13&amp;CHAR(10)&amp;CHAR(10)&amp;'BOX ORDER'!E13&amp;CHAR(10)&amp;'BOX ORDER'!R13</f>
        <v xml:space="preserve">
BOX #
6
HOODS
0</v>
      </c>
    </row>
    <row r="8" spans="1:1" ht="404.25" x14ac:dyDescent="0.85">
      <c r="A8" s="32" t="str">
        <f>'BOX ORDER'!A14&amp;CHAR(10)&amp;CHAR(10)&amp;'BOX ORDER'!B14&amp;CHAR(10)&amp;'BOX ORDER'!P14&amp;CHAR(10)&amp;CHAR(10)&amp;'BOX ORDER'!E14&amp;CHAR(10)&amp;'BOX ORDER'!R14</f>
        <v xml:space="preserve">
BOX #
7
HOODS
0</v>
      </c>
    </row>
    <row r="9" spans="1:1" ht="404.25" x14ac:dyDescent="0.85">
      <c r="A9" s="32" t="str">
        <f>'BOX ORDER'!A15&amp;CHAR(10)&amp;CHAR(10)&amp;'BOX ORDER'!B15&amp;CHAR(10)&amp;'BOX ORDER'!P15&amp;CHAR(10)&amp;CHAR(10)&amp;'BOX ORDER'!E15&amp;CHAR(10)&amp;'BOX ORDER'!R15</f>
        <v xml:space="preserve">
BOX #
8
HOODS
0</v>
      </c>
    </row>
    <row r="10" spans="1:1" ht="404.25" x14ac:dyDescent="0.85">
      <c r="A10" s="32" t="str">
        <f>'BOX ORDER'!A16&amp;CHAR(10)&amp;CHAR(10)&amp;'BOX ORDER'!B16&amp;CHAR(10)&amp;'BOX ORDER'!P16&amp;CHAR(10)&amp;CHAR(10)&amp;'BOX ORDER'!E16&amp;CHAR(10)&amp;'BOX ORDER'!R16</f>
        <v xml:space="preserve">
BOX #
9
HOODS
0</v>
      </c>
    </row>
    <row r="11" spans="1:1" ht="404.25" x14ac:dyDescent="0.85">
      <c r="A11" s="32" t="str">
        <f>'BOX ORDER'!A17&amp;CHAR(10)&amp;CHAR(10)&amp;'BOX ORDER'!B17&amp;CHAR(10)&amp;'BOX ORDER'!P17&amp;CHAR(10)&amp;CHAR(10)&amp;'BOX ORDER'!E17&amp;CHAR(10)&amp;'BOX ORDER'!R17</f>
        <v xml:space="preserve">
BOX #
10
HOODS
0</v>
      </c>
    </row>
    <row r="12" spans="1:1" ht="404.25" x14ac:dyDescent="0.85">
      <c r="A12" s="32" t="str">
        <f>'BOX ORDER'!A18&amp;CHAR(10)&amp;CHAR(10)&amp;'BOX ORDER'!B18&amp;CHAR(10)&amp;'BOX ORDER'!P18&amp;CHAR(10)&amp;CHAR(10)&amp;'BOX ORDER'!E18&amp;CHAR(10)&amp;'BOX ORDER'!R18</f>
        <v xml:space="preserve">
BOX #
11
HOODS
0</v>
      </c>
    </row>
    <row r="13" spans="1:1" ht="404.25" x14ac:dyDescent="0.85">
      <c r="A13" s="32" t="str">
        <f>'BOX ORDER'!A19&amp;CHAR(10)&amp;CHAR(10)&amp;'BOX ORDER'!B19&amp;CHAR(10)&amp;'BOX ORDER'!P19&amp;CHAR(10)&amp;CHAR(10)&amp;'BOX ORDER'!E19&amp;CHAR(10)&amp;'BOX ORDER'!R19</f>
        <v xml:space="preserve">
BOX #
12
HOODS
0</v>
      </c>
    </row>
    <row r="14" spans="1:1" ht="404.25" x14ac:dyDescent="0.85">
      <c r="A14" s="32" t="str">
        <f>'BOX ORDER'!A20&amp;CHAR(10)&amp;CHAR(10)&amp;'BOX ORDER'!B20&amp;CHAR(10)&amp;'BOX ORDER'!P20&amp;CHAR(10)&amp;CHAR(10)&amp;'BOX ORDER'!E20&amp;CHAR(10)&amp;'BOX ORDER'!R20</f>
        <v xml:space="preserve">
BOX #
13
HOODS
0</v>
      </c>
    </row>
    <row r="15" spans="1:1" ht="404.25" x14ac:dyDescent="0.85">
      <c r="A15" s="32" t="str">
        <f>'BOX ORDER'!A21&amp;CHAR(10)&amp;CHAR(10)&amp;'BOX ORDER'!B21&amp;CHAR(10)&amp;'BOX ORDER'!P21&amp;CHAR(10)&amp;CHAR(10)&amp;'BOX ORDER'!E21&amp;CHAR(10)&amp;'BOX ORDER'!R21</f>
        <v xml:space="preserve">
BOX #
14
HOODS
0</v>
      </c>
    </row>
    <row r="16" spans="1:1" ht="404.25" x14ac:dyDescent="0.85">
      <c r="A16" s="32" t="str">
        <f>'BOX ORDER'!A22&amp;CHAR(10)&amp;CHAR(10)&amp;'BOX ORDER'!B22&amp;CHAR(10)&amp;'BOX ORDER'!P22&amp;CHAR(10)&amp;CHAR(10)&amp;'BOX ORDER'!E22&amp;CHAR(10)&amp;'BOX ORDER'!R22</f>
        <v xml:space="preserve">
BOX #
15
HOODS
0</v>
      </c>
    </row>
    <row r="17" spans="1:1" ht="404.25" x14ac:dyDescent="0.85">
      <c r="A17" s="32" t="str">
        <f>'BOX ORDER'!A23&amp;CHAR(10)&amp;CHAR(10)&amp;'BOX ORDER'!B23&amp;CHAR(10)&amp;'BOX ORDER'!P23&amp;CHAR(10)&amp;CHAR(10)&amp;'BOX ORDER'!E23&amp;CHAR(10)&amp;'BOX ORDER'!R23</f>
        <v xml:space="preserve">
BOX #
16
HOODS
0</v>
      </c>
    </row>
    <row r="18" spans="1:1" ht="404.25" x14ac:dyDescent="0.85">
      <c r="A18" s="32" t="str">
        <f>'BOX ORDER'!A24&amp;CHAR(10)&amp;CHAR(10)&amp;'BOX ORDER'!B24&amp;CHAR(10)&amp;'BOX ORDER'!P24&amp;CHAR(10)&amp;CHAR(10)&amp;'BOX ORDER'!E24&amp;CHAR(10)&amp;'BOX ORDER'!R24</f>
        <v xml:space="preserve">
BOX #
17
HOODS
0</v>
      </c>
    </row>
    <row r="19" spans="1:1" ht="404.25" x14ac:dyDescent="0.85">
      <c r="A19" s="32" t="str">
        <f>'BOX ORDER'!A25&amp;CHAR(10)&amp;CHAR(10)&amp;'BOX ORDER'!B25&amp;CHAR(10)&amp;'BOX ORDER'!P25&amp;CHAR(10)&amp;CHAR(10)&amp;'BOX ORDER'!E25&amp;CHAR(10)&amp;'BOX ORDER'!R25</f>
        <v xml:space="preserve">
BOX #
18
HOODS
0</v>
      </c>
    </row>
    <row r="20" spans="1:1" ht="404.25" x14ac:dyDescent="0.85">
      <c r="A20" s="32" t="str">
        <f>'BOX ORDER'!A26&amp;CHAR(10)&amp;CHAR(10)&amp;'BOX ORDER'!B26&amp;CHAR(10)&amp;'BOX ORDER'!P26&amp;CHAR(10)&amp;CHAR(10)&amp;'BOX ORDER'!E26&amp;CHAR(10)&amp;'BOX ORDER'!R26</f>
        <v xml:space="preserve">
BOX #
19
HOODS
0</v>
      </c>
    </row>
    <row r="21" spans="1:1" ht="404.25" x14ac:dyDescent="0.85">
      <c r="A21" s="32" t="str">
        <f>'BOX ORDER'!A27&amp;CHAR(10)&amp;CHAR(10)&amp;'BOX ORDER'!B27&amp;CHAR(10)&amp;'BOX ORDER'!P27&amp;CHAR(10)&amp;CHAR(10)&amp;'BOX ORDER'!E27&amp;CHAR(10)&amp;'BOX ORDER'!R27</f>
        <v xml:space="preserve">
BOX #
20
HOODS
0</v>
      </c>
    </row>
    <row r="22" spans="1:1" ht="404.25" x14ac:dyDescent="0.85">
      <c r="A22" s="32" t="str">
        <f>'BOX ORDER'!A28&amp;CHAR(10)&amp;CHAR(10)&amp;'BOX ORDER'!B28&amp;CHAR(10)&amp;'BOX ORDER'!P28&amp;CHAR(10)&amp;CHAR(10)&amp;'BOX ORDER'!E28&amp;CHAR(10)&amp;'BOX ORDER'!R28</f>
        <v xml:space="preserve">
BOX #
21
HOODS
0</v>
      </c>
    </row>
    <row r="23" spans="1:1" ht="404.25" x14ac:dyDescent="0.85">
      <c r="A23" s="32" t="str">
        <f>'BOX ORDER'!A29&amp;CHAR(10)&amp;CHAR(10)&amp;'BOX ORDER'!B29&amp;CHAR(10)&amp;'BOX ORDER'!P29&amp;CHAR(10)&amp;CHAR(10)&amp;'BOX ORDER'!E29&amp;CHAR(10)&amp;'BOX ORDER'!R29</f>
        <v xml:space="preserve">
BOX #
22
HOODS
0</v>
      </c>
    </row>
    <row r="24" spans="1:1" ht="404.25" x14ac:dyDescent="0.85">
      <c r="A24" s="32" t="str">
        <f>'BOX ORDER'!A30&amp;CHAR(10)&amp;CHAR(10)&amp;'BOX ORDER'!B30&amp;CHAR(10)&amp;'BOX ORDER'!P30&amp;CHAR(10)&amp;CHAR(10)&amp;'BOX ORDER'!E30&amp;CHAR(10)&amp;'BOX ORDER'!R30</f>
        <v xml:space="preserve">
BOX #
23
HOODS
0</v>
      </c>
    </row>
    <row r="25" spans="1:1" ht="404.25" x14ac:dyDescent="0.85">
      <c r="A25" s="32" t="str">
        <f>'BOX ORDER'!A31&amp;CHAR(10)&amp;CHAR(10)&amp;'BOX ORDER'!B31&amp;CHAR(10)&amp;'BOX ORDER'!P31&amp;CHAR(10)&amp;CHAR(10)&amp;'BOX ORDER'!E31&amp;CHAR(10)&amp;'BOX ORDER'!R31</f>
        <v xml:space="preserve">
BOX #
24
HOODS
0</v>
      </c>
    </row>
    <row r="26" spans="1:1" ht="404.25" x14ac:dyDescent="0.85">
      <c r="A26" s="32" t="str">
        <f>'BOX ORDER'!A32&amp;CHAR(10)&amp;CHAR(10)&amp;'BOX ORDER'!B32&amp;CHAR(10)&amp;'BOX ORDER'!P32&amp;CHAR(10)&amp;CHAR(10)&amp;'BOX ORDER'!E32&amp;CHAR(10)&amp;'BOX ORDER'!R32</f>
        <v xml:space="preserve">
BOX #
25
HOODS
0</v>
      </c>
    </row>
    <row r="27" spans="1:1" ht="404.25" x14ac:dyDescent="0.85">
      <c r="A27" s="32" t="str">
        <f>'BOX ORDER'!A33&amp;CHAR(10)&amp;CHAR(10)&amp;'BOX ORDER'!B33&amp;CHAR(10)&amp;'BOX ORDER'!P33&amp;CHAR(10)&amp;CHAR(10)&amp;'BOX ORDER'!E33&amp;CHAR(10)&amp;'BOX ORDER'!R33</f>
        <v xml:space="preserve">
BOX #
26
HOODS
0</v>
      </c>
    </row>
    <row r="28" spans="1:1" ht="404.25" x14ac:dyDescent="0.85">
      <c r="A28" s="32" t="str">
        <f>'BOX ORDER'!A34&amp;CHAR(10)&amp;CHAR(10)&amp;'BOX ORDER'!B34&amp;CHAR(10)&amp;'BOX ORDER'!P34&amp;CHAR(10)&amp;CHAR(10)&amp;'BOX ORDER'!E34&amp;CHAR(10)&amp;'BOX ORDER'!R34</f>
        <v xml:space="preserve">
BOX #
27
HOODS
0</v>
      </c>
    </row>
    <row r="29" spans="1:1" ht="404.25" x14ac:dyDescent="0.85">
      <c r="A29" s="32" t="str">
        <f>'BOX ORDER'!A35&amp;CHAR(10)&amp;CHAR(10)&amp;'BOX ORDER'!B35&amp;CHAR(10)&amp;'BOX ORDER'!P35&amp;CHAR(10)&amp;CHAR(10)&amp;'BOX ORDER'!E35&amp;CHAR(10)&amp;'BOX ORDER'!R35</f>
        <v xml:space="preserve">
BOX #
28
HOODS
0</v>
      </c>
    </row>
    <row r="30" spans="1:1" ht="404.25" x14ac:dyDescent="0.85">
      <c r="A30" s="32" t="str">
        <f>'BOX ORDER'!A36&amp;CHAR(10)&amp;CHAR(10)&amp;'BOX ORDER'!B36&amp;CHAR(10)&amp;'BOX ORDER'!P36&amp;CHAR(10)&amp;CHAR(10)&amp;'BOX ORDER'!E36&amp;CHAR(10)&amp;'BOX ORDER'!R36</f>
        <v xml:space="preserve">
BOX #
29
HOODS
0</v>
      </c>
    </row>
    <row r="31" spans="1:1" ht="404.25" x14ac:dyDescent="0.85">
      <c r="A31" s="32" t="str">
        <f>'BOX ORDER'!A37&amp;CHAR(10)&amp;CHAR(10)&amp;'BOX ORDER'!B37&amp;CHAR(10)&amp;'BOX ORDER'!P37&amp;CHAR(10)&amp;CHAR(10)&amp;'BOX ORDER'!E37&amp;CHAR(10)&amp;'BOX ORDER'!R37</f>
        <v xml:space="preserve">
BOX #
30
HOODS
0</v>
      </c>
    </row>
    <row r="32" spans="1:1" ht="404.25" x14ac:dyDescent="0.85">
      <c r="A32" s="32" t="str">
        <f>'BOX ORDER'!A38&amp;CHAR(10)&amp;CHAR(10)&amp;'BOX ORDER'!B38&amp;CHAR(10)&amp;'BOX ORDER'!P38&amp;CHAR(10)&amp;CHAR(10)&amp;'BOX ORDER'!E38&amp;CHAR(10)&amp;'BOX ORDER'!R38</f>
        <v xml:space="preserve">
BOX #
31
HOODS
0</v>
      </c>
    </row>
    <row r="33" spans="1:1" ht="404.25" x14ac:dyDescent="0.85">
      <c r="A33" s="32" t="str">
        <f>'BOX ORDER'!A39&amp;CHAR(10)&amp;CHAR(10)&amp;'BOX ORDER'!B39&amp;CHAR(10)&amp;'BOX ORDER'!P39&amp;CHAR(10)&amp;CHAR(10)&amp;'BOX ORDER'!E39&amp;CHAR(10)&amp;'BOX ORDER'!R39</f>
        <v xml:space="preserve">
BOX #
32
HOODS
0</v>
      </c>
    </row>
    <row r="34" spans="1:1" ht="404.25" x14ac:dyDescent="0.85">
      <c r="A34" s="32" t="str">
        <f>'BOX ORDER'!A40&amp;CHAR(10)&amp;CHAR(10)&amp;'BOX ORDER'!B40&amp;CHAR(10)&amp;'BOX ORDER'!P40&amp;CHAR(10)&amp;CHAR(10)&amp;'BOX ORDER'!E40&amp;CHAR(10)&amp;'BOX ORDER'!R40</f>
        <v xml:space="preserve">
BOX #
33
HOODS
0</v>
      </c>
    </row>
    <row r="35" spans="1:1" ht="404.25" x14ac:dyDescent="0.85">
      <c r="A35" s="32" t="str">
        <f>'BOX ORDER'!A41&amp;CHAR(10)&amp;CHAR(10)&amp;'BOX ORDER'!B41&amp;CHAR(10)&amp;'BOX ORDER'!P41&amp;CHAR(10)&amp;CHAR(10)&amp;'BOX ORDER'!E41&amp;CHAR(10)&amp;'BOX ORDER'!R41</f>
        <v xml:space="preserve">
BOX #
34
HOODS
0</v>
      </c>
    </row>
    <row r="36" spans="1:1" ht="404.25" x14ac:dyDescent="0.85">
      <c r="A36" s="32" t="str">
        <f>'BOX ORDER'!A42&amp;CHAR(10)&amp;CHAR(10)&amp;'BOX ORDER'!B42&amp;CHAR(10)&amp;'BOX ORDER'!P42&amp;CHAR(10)&amp;CHAR(10)&amp;'BOX ORDER'!E42&amp;CHAR(10)&amp;'BOX ORDER'!R42</f>
        <v xml:space="preserve">
BOX #
35
HOODS
0</v>
      </c>
    </row>
    <row r="37" spans="1:1" ht="404.25" x14ac:dyDescent="0.85">
      <c r="A37" s="32" t="str">
        <f>'BOX ORDER'!A43&amp;CHAR(10)&amp;CHAR(10)&amp;'BOX ORDER'!B43&amp;CHAR(10)&amp;'BOX ORDER'!P43&amp;CHAR(10)&amp;CHAR(10)&amp;'BOX ORDER'!E43&amp;CHAR(10)&amp;'BOX ORDER'!R43</f>
        <v xml:space="preserve">
BOX #
36
HOODS
0</v>
      </c>
    </row>
    <row r="38" spans="1:1" ht="404.25" x14ac:dyDescent="0.85">
      <c r="A38" s="32" t="str">
        <f>'BOX ORDER'!A44&amp;CHAR(10)&amp;CHAR(10)&amp;'BOX ORDER'!B44&amp;CHAR(10)&amp;'BOX ORDER'!P44&amp;CHAR(10)&amp;CHAR(10)&amp;'BOX ORDER'!E44&amp;CHAR(10)&amp;'BOX ORDER'!R44</f>
        <v xml:space="preserve">
BOX #
37
HOODS
0</v>
      </c>
    </row>
    <row r="39" spans="1:1" ht="404.25" x14ac:dyDescent="0.85">
      <c r="A39" s="32" t="str">
        <f>'BOX ORDER'!A45&amp;CHAR(10)&amp;CHAR(10)&amp;'BOX ORDER'!B45&amp;CHAR(10)&amp;'BOX ORDER'!P45&amp;CHAR(10)&amp;CHAR(10)&amp;'BOX ORDER'!E45&amp;CHAR(10)&amp;'BOX ORDER'!R45</f>
        <v xml:space="preserve">
BOX #
38
HOODS
0</v>
      </c>
    </row>
    <row r="40" spans="1:1" ht="404.25" x14ac:dyDescent="0.85">
      <c r="A40" s="32" t="str">
        <f>'BOX ORDER'!A46&amp;CHAR(10)&amp;CHAR(10)&amp;'BOX ORDER'!B46&amp;CHAR(10)&amp;'BOX ORDER'!P46&amp;CHAR(10)&amp;CHAR(10)&amp;'BOX ORDER'!E46&amp;CHAR(10)&amp;'BOX ORDER'!R46</f>
        <v xml:space="preserve">
BOX #
39
HOODS
0</v>
      </c>
    </row>
    <row r="41" spans="1:1" ht="404.25" x14ac:dyDescent="0.85">
      <c r="A41" s="32" t="str">
        <f>'BOX ORDER'!A47&amp;CHAR(10)&amp;CHAR(10)&amp;'BOX ORDER'!B47&amp;CHAR(10)&amp;'BOX ORDER'!P47&amp;CHAR(10)&amp;CHAR(10)&amp;'BOX ORDER'!E47&amp;CHAR(10)&amp;'BOX ORDER'!R47</f>
        <v xml:space="preserve">
BOX #
40
HOODS
0</v>
      </c>
    </row>
    <row r="42" spans="1:1" ht="404.25" x14ac:dyDescent="0.85">
      <c r="A42" s="32" t="str">
        <f>'BOX ORDER'!A48&amp;CHAR(10)&amp;CHAR(10)&amp;'BOX ORDER'!B48&amp;CHAR(10)&amp;'BOX ORDER'!P48&amp;CHAR(10)&amp;CHAR(10)&amp;'BOX ORDER'!E48&amp;CHAR(10)&amp;'BOX ORDER'!R48</f>
        <v xml:space="preserve">
BOX #
41
HOODS
0</v>
      </c>
    </row>
    <row r="43" spans="1:1" ht="404.25" x14ac:dyDescent="0.85">
      <c r="A43" s="32" t="str">
        <f>'BOX ORDER'!A49&amp;CHAR(10)&amp;CHAR(10)&amp;'BOX ORDER'!B49&amp;CHAR(10)&amp;'BOX ORDER'!P49&amp;CHAR(10)&amp;CHAR(10)&amp;'BOX ORDER'!E49&amp;CHAR(10)&amp;'BOX ORDER'!R49</f>
        <v xml:space="preserve">
BOX #
42
HOODS
0</v>
      </c>
    </row>
    <row r="44" spans="1:1" ht="404.25" x14ac:dyDescent="0.85">
      <c r="A44" s="32" t="str">
        <f>'BOX ORDER'!A50&amp;CHAR(10)&amp;CHAR(10)&amp;'BOX ORDER'!B50&amp;CHAR(10)&amp;'BOX ORDER'!P50&amp;CHAR(10)&amp;CHAR(10)&amp;'BOX ORDER'!E50&amp;CHAR(10)&amp;'BOX ORDER'!R50</f>
        <v xml:space="preserve">
BOX #
43
HOODS
0</v>
      </c>
    </row>
    <row r="45" spans="1:1" ht="404.25" x14ac:dyDescent="0.85">
      <c r="A45" s="32" t="str">
        <f>'BOX ORDER'!A51&amp;CHAR(10)&amp;CHAR(10)&amp;'BOX ORDER'!B51&amp;CHAR(10)&amp;'BOX ORDER'!P51&amp;CHAR(10)&amp;CHAR(10)&amp;'BOX ORDER'!E51&amp;CHAR(10)&amp;'BOX ORDER'!R51</f>
        <v xml:space="preserve">
BOX #
44
HOODS
0</v>
      </c>
    </row>
    <row r="46" spans="1:1" ht="404.25" x14ac:dyDescent="0.85">
      <c r="A46" s="32" t="str">
        <f>'BOX ORDER'!A52&amp;CHAR(10)&amp;CHAR(10)&amp;'BOX ORDER'!B52&amp;CHAR(10)&amp;'BOX ORDER'!P52&amp;CHAR(10)&amp;CHAR(10)&amp;'BOX ORDER'!E52&amp;CHAR(10)&amp;'BOX ORDER'!R52</f>
        <v xml:space="preserve">
BOX #
45
HOODS
0</v>
      </c>
    </row>
    <row r="47" spans="1:1" ht="404.25" x14ac:dyDescent="0.85">
      <c r="A47" s="32" t="str">
        <f>'BOX ORDER'!A53&amp;CHAR(10)&amp;CHAR(10)&amp;'BOX ORDER'!B53&amp;CHAR(10)&amp;'BOX ORDER'!P53&amp;CHAR(10)&amp;CHAR(10)&amp;'BOX ORDER'!E53&amp;CHAR(10)&amp;'BOX ORDER'!R53</f>
        <v xml:space="preserve">
BOX #
46
HOODS
0</v>
      </c>
    </row>
    <row r="48" spans="1:1" ht="404.25" x14ac:dyDescent="0.85">
      <c r="A48" s="32" t="str">
        <f>'BOX ORDER'!A54&amp;CHAR(10)&amp;CHAR(10)&amp;'BOX ORDER'!B54&amp;CHAR(10)&amp;'BOX ORDER'!P54&amp;CHAR(10)&amp;CHAR(10)&amp;'BOX ORDER'!E54&amp;CHAR(10)&amp;'BOX ORDER'!R54</f>
        <v xml:space="preserve">
BOX #
47
HOODS
0</v>
      </c>
    </row>
    <row r="49" spans="1:1" ht="404.25" x14ac:dyDescent="0.85">
      <c r="A49" s="32" t="str">
        <f>'BOX ORDER'!A55&amp;CHAR(10)&amp;CHAR(10)&amp;'BOX ORDER'!B55&amp;CHAR(10)&amp;'BOX ORDER'!P55&amp;CHAR(10)&amp;CHAR(10)&amp;'BOX ORDER'!E55&amp;CHAR(10)&amp;'BOX ORDER'!R55</f>
        <v xml:space="preserve">
BOX #
48
HOODS
0</v>
      </c>
    </row>
    <row r="50" spans="1:1" ht="404.25" x14ac:dyDescent="0.85">
      <c r="A50" s="32" t="str">
        <f>'BOX ORDER'!A56&amp;CHAR(10)&amp;CHAR(10)&amp;'BOX ORDER'!B56&amp;CHAR(10)&amp;'BOX ORDER'!P56&amp;CHAR(10)&amp;CHAR(10)&amp;'BOX ORDER'!E56&amp;CHAR(10)&amp;'BOX ORDER'!R56</f>
        <v xml:space="preserve">
BOX #
49
HOODS
0</v>
      </c>
    </row>
    <row r="51" spans="1:1" ht="404.25" x14ac:dyDescent="0.85">
      <c r="A51" s="32" t="str">
        <f>'BOX ORDER'!A57&amp;CHAR(10)&amp;CHAR(10)&amp;'BOX ORDER'!B57&amp;CHAR(10)&amp;'BOX ORDER'!P57&amp;CHAR(10)&amp;CHAR(10)&amp;'BOX ORDER'!E57&amp;CHAR(10)&amp;'BOX ORDER'!R57</f>
        <v xml:space="preserve">
BOX #
50
HOODS
0</v>
      </c>
    </row>
    <row r="52" spans="1:1" ht="404.25" x14ac:dyDescent="0.85">
      <c r="A52" s="32" t="str">
        <f>'BOX ORDER'!A58&amp;CHAR(10)&amp;CHAR(10)&amp;'BOX ORDER'!B58&amp;CHAR(10)&amp;'BOX ORDER'!P58&amp;CHAR(10)&amp;CHAR(10)&amp;'BOX ORDER'!E58&amp;CHAR(10)&amp;'BOX ORDER'!R58</f>
        <v xml:space="preserve">
BOX #
51
HOODS
0</v>
      </c>
    </row>
    <row r="53" spans="1:1" ht="404.25" x14ac:dyDescent="0.85">
      <c r="A53" s="32" t="str">
        <f>'BOX ORDER'!A59&amp;CHAR(10)&amp;CHAR(10)&amp;'BOX ORDER'!B59&amp;CHAR(10)&amp;'BOX ORDER'!P59&amp;CHAR(10)&amp;CHAR(10)&amp;'BOX ORDER'!E59&amp;CHAR(10)&amp;'BOX ORDER'!R59</f>
        <v xml:space="preserve">
BOX #
52
HOODS
0</v>
      </c>
    </row>
    <row r="54" spans="1:1" ht="404.25" x14ac:dyDescent="0.85">
      <c r="A54" s="32" t="str">
        <f>'BOX ORDER'!A60&amp;CHAR(10)&amp;CHAR(10)&amp;'BOX ORDER'!B60&amp;CHAR(10)&amp;'BOX ORDER'!P60&amp;CHAR(10)&amp;CHAR(10)&amp;'BOX ORDER'!E60&amp;CHAR(10)&amp;'BOX ORDER'!R60</f>
        <v xml:space="preserve">
BOX #
53
HOODS
0</v>
      </c>
    </row>
    <row r="55" spans="1:1" ht="404.25" x14ac:dyDescent="0.85">
      <c r="A55" s="32" t="str">
        <f>'BOX ORDER'!A61&amp;CHAR(10)&amp;CHAR(10)&amp;'BOX ORDER'!B61&amp;CHAR(10)&amp;'BOX ORDER'!P61&amp;CHAR(10)&amp;CHAR(10)&amp;'BOX ORDER'!E61&amp;CHAR(10)&amp;'BOX ORDER'!R61</f>
        <v xml:space="preserve">
BOX #
54
HOODS
0</v>
      </c>
    </row>
    <row r="56" spans="1:1" ht="404.25" x14ac:dyDescent="0.85">
      <c r="A56" s="32" t="str">
        <f>'BOX ORDER'!A62&amp;CHAR(10)&amp;CHAR(10)&amp;'BOX ORDER'!B62&amp;CHAR(10)&amp;'BOX ORDER'!P62&amp;CHAR(10)&amp;CHAR(10)&amp;'BOX ORDER'!E62&amp;CHAR(10)&amp;'BOX ORDER'!R62</f>
        <v xml:space="preserve">
BOX #
55
HOODS
0</v>
      </c>
    </row>
    <row r="57" spans="1:1" ht="404.25" x14ac:dyDescent="0.85">
      <c r="A57" s="32" t="str">
        <f>'BOX ORDER'!A63&amp;CHAR(10)&amp;CHAR(10)&amp;'BOX ORDER'!B63&amp;CHAR(10)&amp;'BOX ORDER'!P63&amp;CHAR(10)&amp;CHAR(10)&amp;'BOX ORDER'!E63&amp;CHAR(10)&amp;'BOX ORDER'!R63</f>
        <v xml:space="preserve">
BOX #
56
HOODS
0</v>
      </c>
    </row>
    <row r="58" spans="1:1" ht="404.25" x14ac:dyDescent="0.85">
      <c r="A58" s="32" t="str">
        <f>'BOX ORDER'!A64&amp;CHAR(10)&amp;CHAR(10)&amp;'BOX ORDER'!B64&amp;CHAR(10)&amp;'BOX ORDER'!P64&amp;CHAR(10)&amp;CHAR(10)&amp;'BOX ORDER'!E64&amp;CHAR(10)&amp;'BOX ORDER'!R64</f>
        <v xml:space="preserve">
BOX #
57
HOODS
0</v>
      </c>
    </row>
    <row r="59" spans="1:1" ht="404.25" x14ac:dyDescent="0.85">
      <c r="A59" s="32" t="str">
        <f>'BOX ORDER'!A65&amp;CHAR(10)&amp;CHAR(10)&amp;'BOX ORDER'!B65&amp;CHAR(10)&amp;'BOX ORDER'!P65&amp;CHAR(10)&amp;CHAR(10)&amp;'BOX ORDER'!E65&amp;CHAR(10)&amp;'BOX ORDER'!R65</f>
        <v xml:space="preserve">
BOX #
58
HOODS
0</v>
      </c>
    </row>
    <row r="60" spans="1:1" ht="404.25" x14ac:dyDescent="0.85">
      <c r="A60" s="32" t="str">
        <f>'BOX ORDER'!A66&amp;CHAR(10)&amp;CHAR(10)&amp;'BOX ORDER'!B66&amp;CHAR(10)&amp;'BOX ORDER'!P66&amp;CHAR(10)&amp;CHAR(10)&amp;'BOX ORDER'!E66&amp;CHAR(10)&amp;'BOX ORDER'!R66</f>
        <v xml:space="preserve">
BOX #
59
HOODS
0</v>
      </c>
    </row>
    <row r="61" spans="1:1" ht="404.25" x14ac:dyDescent="0.85">
      <c r="A61" s="32" t="str">
        <f>'BOX ORDER'!A67&amp;CHAR(10)&amp;CHAR(10)&amp;'BOX ORDER'!B67&amp;CHAR(10)&amp;'BOX ORDER'!P67&amp;CHAR(10)&amp;CHAR(10)&amp;'BOX ORDER'!E67&amp;CHAR(10)&amp;'BOX ORDER'!R67</f>
        <v xml:space="preserve">
BOX #
60
HOODS
0</v>
      </c>
    </row>
    <row r="62" spans="1:1" ht="404.25" x14ac:dyDescent="0.85">
      <c r="A62" s="32" t="str">
        <f>'BOX ORDER'!A68&amp;CHAR(10)&amp;CHAR(10)&amp;'BOX ORDER'!B68&amp;CHAR(10)&amp;'BOX ORDER'!P68&amp;CHAR(10)&amp;CHAR(10)&amp;'BOX ORDER'!E68&amp;CHAR(10)&amp;'BOX ORDER'!R68</f>
        <v xml:space="preserve">
BOX #
61
HOODS
0</v>
      </c>
    </row>
    <row r="63" spans="1:1" ht="404.25" x14ac:dyDescent="0.85">
      <c r="A63" s="32" t="str">
        <f>'BOX ORDER'!A69&amp;CHAR(10)&amp;CHAR(10)&amp;'BOX ORDER'!B69&amp;CHAR(10)&amp;'BOX ORDER'!P69&amp;CHAR(10)&amp;CHAR(10)&amp;'BOX ORDER'!E69&amp;CHAR(10)&amp;'BOX ORDER'!R69</f>
        <v xml:space="preserve">
BOX #
62
HOODS
0</v>
      </c>
    </row>
    <row r="64" spans="1:1" ht="404.25" x14ac:dyDescent="0.85">
      <c r="A64" s="32" t="str">
        <f>'BOX ORDER'!A70&amp;CHAR(10)&amp;CHAR(10)&amp;'BOX ORDER'!B70&amp;CHAR(10)&amp;'BOX ORDER'!P70&amp;CHAR(10)&amp;CHAR(10)&amp;'BOX ORDER'!E70&amp;CHAR(10)&amp;'BOX ORDER'!R70</f>
        <v xml:space="preserve">
BOX #
63
HOODS
0</v>
      </c>
    </row>
    <row r="65" spans="1:1" ht="404.25" x14ac:dyDescent="0.85">
      <c r="A65" s="32" t="str">
        <f>'BOX ORDER'!A71&amp;CHAR(10)&amp;CHAR(10)&amp;'BOX ORDER'!B71&amp;CHAR(10)&amp;'BOX ORDER'!P71&amp;CHAR(10)&amp;CHAR(10)&amp;'BOX ORDER'!E71&amp;CHAR(10)&amp;'BOX ORDER'!R71</f>
        <v xml:space="preserve">
BOX #
64
HOODS
0</v>
      </c>
    </row>
    <row r="66" spans="1:1" ht="404.25" x14ac:dyDescent="0.85">
      <c r="A66" s="32" t="str">
        <f>'BOX ORDER'!A72&amp;CHAR(10)&amp;CHAR(10)&amp;'BOX ORDER'!B72&amp;CHAR(10)&amp;'BOX ORDER'!P72&amp;CHAR(10)&amp;CHAR(10)&amp;'BOX ORDER'!E72&amp;CHAR(10)&amp;'BOX ORDER'!R72</f>
        <v xml:space="preserve">
BOX #
65
HOODS
0</v>
      </c>
    </row>
    <row r="67" spans="1:1" ht="404.25" x14ac:dyDescent="0.85">
      <c r="A67" s="32" t="str">
        <f>'BOX ORDER'!A73&amp;CHAR(10)&amp;CHAR(10)&amp;'BOX ORDER'!B73&amp;CHAR(10)&amp;'BOX ORDER'!P73&amp;CHAR(10)&amp;CHAR(10)&amp;'BOX ORDER'!E73&amp;CHAR(10)&amp;'BOX ORDER'!R73</f>
        <v xml:space="preserve">
BOX #
66
HOODS
0</v>
      </c>
    </row>
    <row r="68" spans="1:1" ht="404.25" x14ac:dyDescent="0.85">
      <c r="A68" s="32" t="str">
        <f>'BOX ORDER'!A74&amp;CHAR(10)&amp;CHAR(10)&amp;'BOX ORDER'!B74&amp;CHAR(10)&amp;'BOX ORDER'!P74&amp;CHAR(10)&amp;CHAR(10)&amp;'BOX ORDER'!E74&amp;CHAR(10)&amp;'BOX ORDER'!R74</f>
        <v xml:space="preserve">
BOX #
67
HOODS
0</v>
      </c>
    </row>
    <row r="69" spans="1:1" ht="404.25" x14ac:dyDescent="0.85">
      <c r="A69" s="32" t="str">
        <f>'BOX ORDER'!A75&amp;CHAR(10)&amp;CHAR(10)&amp;'BOX ORDER'!B75&amp;CHAR(10)&amp;'BOX ORDER'!P75&amp;CHAR(10)&amp;CHAR(10)&amp;'BOX ORDER'!E75&amp;CHAR(10)&amp;'BOX ORDER'!R75</f>
        <v xml:space="preserve">
BOX #
68
HOODS
0</v>
      </c>
    </row>
    <row r="70" spans="1:1" ht="404.25" x14ac:dyDescent="0.85">
      <c r="A70" s="32" t="str">
        <f>'BOX ORDER'!A76&amp;CHAR(10)&amp;CHAR(10)&amp;'BOX ORDER'!B76&amp;CHAR(10)&amp;'BOX ORDER'!P76&amp;CHAR(10)&amp;CHAR(10)&amp;'BOX ORDER'!E76&amp;CHAR(10)&amp;'BOX ORDER'!R76</f>
        <v xml:space="preserve">
BOX #
69
HOODS
0</v>
      </c>
    </row>
    <row r="71" spans="1:1" ht="404.25" x14ac:dyDescent="0.85">
      <c r="A71" s="32" t="str">
        <f>'BOX ORDER'!A77&amp;CHAR(10)&amp;CHAR(10)&amp;'BOX ORDER'!B77&amp;CHAR(10)&amp;'BOX ORDER'!P77&amp;CHAR(10)&amp;CHAR(10)&amp;'BOX ORDER'!E77&amp;CHAR(10)&amp;'BOX ORDER'!R77</f>
        <v xml:space="preserve">
BOX #
70
HOODS
0</v>
      </c>
    </row>
    <row r="72" spans="1:1" ht="404.25" x14ac:dyDescent="0.85">
      <c r="A72" s="32" t="str">
        <f>'BOX ORDER'!A78&amp;CHAR(10)&amp;CHAR(10)&amp;'BOX ORDER'!B78&amp;CHAR(10)&amp;'BOX ORDER'!P78&amp;CHAR(10)&amp;CHAR(10)&amp;'BOX ORDER'!E78&amp;CHAR(10)&amp;'BOX ORDER'!R78</f>
        <v xml:space="preserve">
BOX #
71
HOODS
0</v>
      </c>
    </row>
    <row r="73" spans="1:1" ht="404.25" x14ac:dyDescent="0.85">
      <c r="A73" s="32" t="str">
        <f>'BOX ORDER'!A79&amp;CHAR(10)&amp;CHAR(10)&amp;'BOX ORDER'!B79&amp;CHAR(10)&amp;'BOX ORDER'!P79&amp;CHAR(10)&amp;CHAR(10)&amp;'BOX ORDER'!E79&amp;CHAR(10)&amp;'BOX ORDER'!R79</f>
        <v xml:space="preserve">
BOX #
72
HOODS
0</v>
      </c>
    </row>
    <row r="74" spans="1:1" ht="404.25" x14ac:dyDescent="0.85">
      <c r="A74" s="32" t="str">
        <f>'BOX ORDER'!A80&amp;CHAR(10)&amp;CHAR(10)&amp;'BOX ORDER'!B80&amp;CHAR(10)&amp;'BOX ORDER'!P80&amp;CHAR(10)&amp;CHAR(10)&amp;'BOX ORDER'!E80&amp;CHAR(10)&amp;'BOX ORDER'!R80</f>
        <v xml:space="preserve">
BOX #
73
HOODS
0</v>
      </c>
    </row>
    <row r="75" spans="1:1" ht="404.25" x14ac:dyDescent="0.85">
      <c r="A75" s="32" t="str">
        <f>'BOX ORDER'!A81&amp;CHAR(10)&amp;CHAR(10)&amp;'BOX ORDER'!B81&amp;CHAR(10)&amp;'BOX ORDER'!P81&amp;CHAR(10)&amp;CHAR(10)&amp;'BOX ORDER'!E81&amp;CHAR(10)&amp;'BOX ORDER'!R81</f>
        <v xml:space="preserve">
BOX #
74
HOODS
0</v>
      </c>
    </row>
    <row r="76" spans="1:1" ht="404.25" x14ac:dyDescent="0.85">
      <c r="A76" s="32" t="str">
        <f>'BOX ORDER'!A82&amp;CHAR(10)&amp;CHAR(10)&amp;'BOX ORDER'!B82&amp;CHAR(10)&amp;'BOX ORDER'!P82&amp;CHAR(10)&amp;CHAR(10)&amp;'BOX ORDER'!E82&amp;CHAR(10)&amp;'BOX ORDER'!R82</f>
        <v xml:space="preserve">
BOX #
75
HOODS
0</v>
      </c>
    </row>
    <row r="77" spans="1:1" ht="404.25" x14ac:dyDescent="0.85">
      <c r="A77" s="32" t="str">
        <f>'BOX ORDER'!A83&amp;CHAR(10)&amp;CHAR(10)&amp;'BOX ORDER'!B83&amp;CHAR(10)&amp;'BOX ORDER'!P83&amp;CHAR(10)&amp;CHAR(10)&amp;'BOX ORDER'!E83&amp;CHAR(10)&amp;'BOX ORDER'!R83</f>
        <v xml:space="preserve">
BOX #
76
HOODS
0</v>
      </c>
    </row>
    <row r="78" spans="1:1" ht="404.25" x14ac:dyDescent="0.85">
      <c r="A78" s="32" t="str">
        <f>'BOX ORDER'!A84&amp;CHAR(10)&amp;CHAR(10)&amp;'BOX ORDER'!B84&amp;CHAR(10)&amp;'BOX ORDER'!P84&amp;CHAR(10)&amp;CHAR(10)&amp;'BOX ORDER'!E84&amp;CHAR(10)&amp;'BOX ORDER'!R84</f>
        <v xml:space="preserve">
BOX #
77
HOODS
0</v>
      </c>
    </row>
    <row r="79" spans="1:1" ht="404.25" x14ac:dyDescent="0.85">
      <c r="A79" s="32" t="str">
        <f>'BOX ORDER'!A85&amp;CHAR(10)&amp;CHAR(10)&amp;'BOX ORDER'!B85&amp;CHAR(10)&amp;'BOX ORDER'!P85&amp;CHAR(10)&amp;CHAR(10)&amp;'BOX ORDER'!E85&amp;CHAR(10)&amp;'BOX ORDER'!R85</f>
        <v xml:space="preserve">
BOX #
78
HOODS
0</v>
      </c>
    </row>
    <row r="80" spans="1:1" ht="404.25" x14ac:dyDescent="0.85">
      <c r="A80" s="32" t="str">
        <f>'BOX ORDER'!A86&amp;CHAR(10)&amp;CHAR(10)&amp;'BOX ORDER'!B86&amp;CHAR(10)&amp;'BOX ORDER'!P86&amp;CHAR(10)&amp;CHAR(10)&amp;'BOX ORDER'!E86&amp;CHAR(10)&amp;'BOX ORDER'!R86</f>
        <v xml:space="preserve">
BOX #
79
HOODS
0</v>
      </c>
    </row>
    <row r="81" spans="1:1" ht="404.25" x14ac:dyDescent="0.85">
      <c r="A81" s="32" t="str">
        <f>'BOX ORDER'!A87&amp;CHAR(10)&amp;CHAR(10)&amp;'BOX ORDER'!B87&amp;CHAR(10)&amp;'BOX ORDER'!P87&amp;CHAR(10)&amp;CHAR(10)&amp;'BOX ORDER'!E87&amp;CHAR(10)&amp;'BOX ORDER'!R87</f>
        <v xml:space="preserve">
BOX #
80
HOODS
0</v>
      </c>
    </row>
    <row r="82" spans="1:1" ht="404.25" x14ac:dyDescent="0.85">
      <c r="A82" s="32" t="str">
        <f>'BOX ORDER'!A88&amp;CHAR(10)&amp;CHAR(10)&amp;'BOX ORDER'!B88&amp;CHAR(10)&amp;'BOX ORDER'!P88&amp;CHAR(10)&amp;CHAR(10)&amp;'BOX ORDER'!E88&amp;CHAR(10)&amp;'BOX ORDER'!R88</f>
        <v xml:space="preserve">
BOX #
81
HOODS
0</v>
      </c>
    </row>
    <row r="83" spans="1:1" ht="404.25" x14ac:dyDescent="0.85">
      <c r="A83" s="32" t="str">
        <f>'BOX ORDER'!A89&amp;CHAR(10)&amp;CHAR(10)&amp;'BOX ORDER'!B89&amp;CHAR(10)&amp;'BOX ORDER'!P89&amp;CHAR(10)&amp;CHAR(10)&amp;'BOX ORDER'!E89&amp;CHAR(10)&amp;'BOX ORDER'!R89</f>
        <v xml:space="preserve">
BOX #
82
HOODS
0</v>
      </c>
    </row>
    <row r="84" spans="1:1" ht="404.25" x14ac:dyDescent="0.85">
      <c r="A84" s="32" t="str">
        <f>'BOX ORDER'!A90&amp;CHAR(10)&amp;CHAR(10)&amp;'BOX ORDER'!B90&amp;CHAR(10)&amp;'BOX ORDER'!P90&amp;CHAR(10)&amp;CHAR(10)&amp;'BOX ORDER'!E90&amp;CHAR(10)&amp;'BOX ORDER'!R90</f>
        <v xml:space="preserve">
BOX #
83
HOODS
0</v>
      </c>
    </row>
    <row r="85" spans="1:1" ht="404.25" x14ac:dyDescent="0.85">
      <c r="A85" s="32" t="str">
        <f>'BOX ORDER'!A91&amp;CHAR(10)&amp;CHAR(10)&amp;'BOX ORDER'!B91&amp;CHAR(10)&amp;'BOX ORDER'!P91&amp;CHAR(10)&amp;CHAR(10)&amp;'BOX ORDER'!E91&amp;CHAR(10)&amp;'BOX ORDER'!R91</f>
        <v xml:space="preserve">
BOX #
84
HOODS
0</v>
      </c>
    </row>
    <row r="86" spans="1:1" ht="404.25" x14ac:dyDescent="0.85">
      <c r="A86" s="32" t="str">
        <f>'BOX ORDER'!A92&amp;CHAR(10)&amp;CHAR(10)&amp;'BOX ORDER'!B92&amp;CHAR(10)&amp;'BOX ORDER'!P92&amp;CHAR(10)&amp;CHAR(10)&amp;'BOX ORDER'!E92&amp;CHAR(10)&amp;'BOX ORDER'!R92</f>
        <v xml:space="preserve">
BOX #
85
HOODS
0</v>
      </c>
    </row>
    <row r="87" spans="1:1" ht="404.25" x14ac:dyDescent="0.85">
      <c r="A87" s="32" t="str">
        <f>'BOX ORDER'!A93&amp;CHAR(10)&amp;CHAR(10)&amp;'BOX ORDER'!B93&amp;CHAR(10)&amp;'BOX ORDER'!P93&amp;CHAR(10)&amp;CHAR(10)&amp;'BOX ORDER'!E93&amp;CHAR(10)&amp;'BOX ORDER'!R93</f>
        <v xml:space="preserve">
BOX #
86
HOODS
0</v>
      </c>
    </row>
    <row r="88" spans="1:1" ht="404.25" x14ac:dyDescent="0.85">
      <c r="A88" s="32" t="str">
        <f>'BOX ORDER'!A94&amp;CHAR(10)&amp;CHAR(10)&amp;'BOX ORDER'!B94&amp;CHAR(10)&amp;'BOX ORDER'!P94&amp;CHAR(10)&amp;CHAR(10)&amp;'BOX ORDER'!E94&amp;CHAR(10)&amp;'BOX ORDER'!R94</f>
        <v xml:space="preserve">
BOX #
87
HOODS
0</v>
      </c>
    </row>
    <row r="89" spans="1:1" ht="404.25" x14ac:dyDescent="0.85">
      <c r="A89" s="32" t="str">
        <f>'BOX ORDER'!A95&amp;CHAR(10)&amp;CHAR(10)&amp;'BOX ORDER'!B95&amp;CHAR(10)&amp;'BOX ORDER'!P95&amp;CHAR(10)&amp;CHAR(10)&amp;'BOX ORDER'!E95&amp;CHAR(10)&amp;'BOX ORDER'!R95</f>
        <v xml:space="preserve">
BOX #
88
HOODS
0</v>
      </c>
    </row>
    <row r="90" spans="1:1" ht="404.25" x14ac:dyDescent="0.85">
      <c r="A90" s="32" t="str">
        <f>'BOX ORDER'!A96&amp;CHAR(10)&amp;CHAR(10)&amp;'BOX ORDER'!B96&amp;CHAR(10)&amp;'BOX ORDER'!P96&amp;CHAR(10)&amp;CHAR(10)&amp;'BOX ORDER'!E96&amp;CHAR(10)&amp;'BOX ORDER'!R96</f>
        <v xml:space="preserve">
BOX #
89
HOODS
0</v>
      </c>
    </row>
    <row r="91" spans="1:1" ht="404.25" x14ac:dyDescent="0.85">
      <c r="A91" s="32" t="str">
        <f>'BOX ORDER'!A97&amp;CHAR(10)&amp;CHAR(10)&amp;'BOX ORDER'!B97&amp;CHAR(10)&amp;'BOX ORDER'!P97&amp;CHAR(10)&amp;CHAR(10)&amp;'BOX ORDER'!E97&amp;CHAR(10)&amp;'BOX ORDER'!R97</f>
        <v xml:space="preserve">
BOX #
90
HOODS
0</v>
      </c>
    </row>
    <row r="92" spans="1:1" ht="404.25" x14ac:dyDescent="0.85">
      <c r="A92" s="32" t="str">
        <f>'BOX ORDER'!A98&amp;CHAR(10)&amp;CHAR(10)&amp;'BOX ORDER'!B98&amp;CHAR(10)&amp;'BOX ORDER'!P98&amp;CHAR(10)&amp;CHAR(10)&amp;'BOX ORDER'!E98&amp;CHAR(10)&amp;'BOX ORDER'!R98</f>
        <v xml:space="preserve">
BOX #
91
HOODS
0</v>
      </c>
    </row>
    <row r="93" spans="1:1" ht="404.25" x14ac:dyDescent="0.85">
      <c r="A93" s="32" t="str">
        <f>'BOX ORDER'!A99&amp;CHAR(10)&amp;CHAR(10)&amp;'BOX ORDER'!B99&amp;CHAR(10)&amp;'BOX ORDER'!P99&amp;CHAR(10)&amp;CHAR(10)&amp;'BOX ORDER'!E99&amp;CHAR(10)&amp;'BOX ORDER'!R99</f>
        <v xml:space="preserve">
BOX #
92
HOODS
0</v>
      </c>
    </row>
    <row r="94" spans="1:1" ht="404.25" x14ac:dyDescent="0.85">
      <c r="A94" s="32" t="str">
        <f>'BOX ORDER'!A100&amp;CHAR(10)&amp;CHAR(10)&amp;'BOX ORDER'!B100&amp;CHAR(10)&amp;'BOX ORDER'!P100&amp;CHAR(10)&amp;CHAR(10)&amp;'BOX ORDER'!E100&amp;CHAR(10)&amp;'BOX ORDER'!R100</f>
        <v xml:space="preserve">
BOX #
93
HOODS
0</v>
      </c>
    </row>
    <row r="95" spans="1:1" ht="404.25" x14ac:dyDescent="0.85">
      <c r="A95" s="32" t="str">
        <f>'BOX ORDER'!A101&amp;CHAR(10)&amp;CHAR(10)&amp;'BOX ORDER'!B101&amp;CHAR(10)&amp;'BOX ORDER'!P101&amp;CHAR(10)&amp;CHAR(10)&amp;'BOX ORDER'!E101&amp;CHAR(10)&amp;'BOX ORDER'!R101</f>
        <v xml:space="preserve">
BOX #
94
HOODS
0</v>
      </c>
    </row>
    <row r="96" spans="1:1" ht="404.25" x14ac:dyDescent="0.85">
      <c r="A96" s="32" t="str">
        <f>'BOX ORDER'!A102&amp;CHAR(10)&amp;CHAR(10)&amp;'BOX ORDER'!B102&amp;CHAR(10)&amp;'BOX ORDER'!P102&amp;CHAR(10)&amp;CHAR(10)&amp;'BOX ORDER'!E102&amp;CHAR(10)&amp;'BOX ORDER'!R102</f>
        <v xml:space="preserve">
BOX #
95
HOODS
0</v>
      </c>
    </row>
    <row r="97" spans="1:1" ht="404.25" x14ac:dyDescent="0.85">
      <c r="A97" s="32" t="str">
        <f>'BOX ORDER'!A103&amp;CHAR(10)&amp;CHAR(10)&amp;'BOX ORDER'!B103&amp;CHAR(10)&amp;'BOX ORDER'!P103&amp;CHAR(10)&amp;CHAR(10)&amp;'BOX ORDER'!E103&amp;CHAR(10)&amp;'BOX ORDER'!R103</f>
        <v xml:space="preserve">
BOX #
96
HOODS
0</v>
      </c>
    </row>
    <row r="98" spans="1:1" ht="404.25" x14ac:dyDescent="0.85">
      <c r="A98" s="32" t="str">
        <f>'BOX ORDER'!A104&amp;CHAR(10)&amp;CHAR(10)&amp;'BOX ORDER'!B104&amp;CHAR(10)&amp;'BOX ORDER'!P104&amp;CHAR(10)&amp;CHAR(10)&amp;'BOX ORDER'!E104&amp;CHAR(10)&amp;'BOX ORDER'!R104</f>
        <v xml:space="preserve">
BOX #
97
HOODS
0</v>
      </c>
    </row>
    <row r="99" spans="1:1" ht="404.25" x14ac:dyDescent="0.85">
      <c r="A99" s="32" t="str">
        <f>'BOX ORDER'!A105&amp;CHAR(10)&amp;CHAR(10)&amp;'BOX ORDER'!B105&amp;CHAR(10)&amp;'BOX ORDER'!P105&amp;CHAR(10)&amp;CHAR(10)&amp;'BOX ORDER'!E105&amp;CHAR(10)&amp;'BOX ORDER'!R105</f>
        <v xml:space="preserve">
BOX #
98
HOODS
0</v>
      </c>
    </row>
    <row r="100" spans="1:1" ht="404.25" x14ac:dyDescent="0.85">
      <c r="A100" s="32" t="str">
        <f>'BOX ORDER'!A106&amp;CHAR(10)&amp;CHAR(10)&amp;'BOX ORDER'!B106&amp;CHAR(10)&amp;'BOX ORDER'!P106&amp;CHAR(10)&amp;CHAR(10)&amp;'BOX ORDER'!E106&amp;CHAR(10)&amp;'BOX ORDER'!R106</f>
        <v xml:space="preserve">
BOX #
99
HOODS
0</v>
      </c>
    </row>
    <row r="101" spans="1:1" ht="404.25" x14ac:dyDescent="0.85">
      <c r="A101" s="32" t="str">
        <f>'BOX ORDER'!A107&amp;CHAR(10)&amp;CHAR(10)&amp;'BOX ORDER'!B107&amp;CHAR(10)&amp;'BOX ORDER'!P107&amp;CHAR(10)&amp;CHAR(10)&amp;'BOX ORDER'!E107&amp;CHAR(10)&amp;'BOX ORDER'!R107</f>
        <v xml:space="preserve">
BOX #
100
HOODS
0</v>
      </c>
    </row>
    <row r="102" spans="1:1" ht="404.25" x14ac:dyDescent="0.85">
      <c r="A102" s="32" t="str">
        <f>'BOX ORDER'!A108&amp;CHAR(10)&amp;CHAR(10)&amp;'BOX ORDER'!B108&amp;CHAR(10)&amp;'BOX ORDER'!P108&amp;CHAR(10)&amp;CHAR(10)&amp;'BOX ORDER'!E108&amp;CHAR(10)&amp;'BOX ORDER'!R108</f>
        <v xml:space="preserve">
BOX #
101
HOODS
0</v>
      </c>
    </row>
    <row r="103" spans="1:1" ht="404.25" x14ac:dyDescent="0.85">
      <c r="A103" s="32" t="str">
        <f>'BOX ORDER'!A109&amp;CHAR(10)&amp;CHAR(10)&amp;'BOX ORDER'!B109&amp;CHAR(10)&amp;'BOX ORDER'!P109&amp;CHAR(10)&amp;CHAR(10)&amp;'BOX ORDER'!E109&amp;CHAR(10)&amp;'BOX ORDER'!R109</f>
        <v xml:space="preserve">
BOX #
102
HOODS
0</v>
      </c>
    </row>
    <row r="104" spans="1:1" ht="404.25" x14ac:dyDescent="0.85">
      <c r="A104" s="32" t="str">
        <f>'BOX ORDER'!A110&amp;CHAR(10)&amp;CHAR(10)&amp;'BOX ORDER'!B110&amp;CHAR(10)&amp;'BOX ORDER'!P110&amp;CHAR(10)&amp;CHAR(10)&amp;'BOX ORDER'!E110&amp;CHAR(10)&amp;'BOX ORDER'!R110</f>
        <v xml:space="preserve">
BOX #
103
HOODS
0</v>
      </c>
    </row>
    <row r="105" spans="1:1" ht="404.25" x14ac:dyDescent="0.85">
      <c r="A105" s="32" t="str">
        <f>'BOX ORDER'!A111&amp;CHAR(10)&amp;CHAR(10)&amp;'BOX ORDER'!B111&amp;CHAR(10)&amp;'BOX ORDER'!P111&amp;CHAR(10)&amp;CHAR(10)&amp;'BOX ORDER'!E111&amp;CHAR(10)&amp;'BOX ORDER'!R111</f>
        <v xml:space="preserve">
BOX #
104
HOODS
0</v>
      </c>
    </row>
    <row r="106" spans="1:1" ht="404.25" x14ac:dyDescent="0.85">
      <c r="A106" s="32" t="str">
        <f>'BOX ORDER'!A112&amp;CHAR(10)&amp;CHAR(10)&amp;'BOX ORDER'!B112&amp;CHAR(10)&amp;'BOX ORDER'!P112&amp;CHAR(10)&amp;CHAR(10)&amp;'BOX ORDER'!E112&amp;CHAR(10)&amp;'BOX ORDER'!R112</f>
        <v xml:space="preserve">
BOX #
105
HOODS
0</v>
      </c>
    </row>
    <row r="107" spans="1:1" ht="404.25" x14ac:dyDescent="0.85">
      <c r="A107" s="32" t="str">
        <f>'BOX ORDER'!A113&amp;CHAR(10)&amp;CHAR(10)&amp;'BOX ORDER'!B113&amp;CHAR(10)&amp;'BOX ORDER'!P113&amp;CHAR(10)&amp;CHAR(10)&amp;'BOX ORDER'!E113&amp;CHAR(10)&amp;'BOX ORDER'!R113</f>
        <v xml:space="preserve">
BOX #
106
HOODS
0</v>
      </c>
    </row>
    <row r="108" spans="1:1" ht="404.25" x14ac:dyDescent="0.85">
      <c r="A108" s="32" t="str">
        <f>'BOX ORDER'!A114&amp;CHAR(10)&amp;CHAR(10)&amp;'BOX ORDER'!B114&amp;CHAR(10)&amp;'BOX ORDER'!P114&amp;CHAR(10)&amp;CHAR(10)&amp;'BOX ORDER'!E114&amp;CHAR(10)&amp;'BOX ORDER'!R114</f>
        <v xml:space="preserve">
BOX #
107
HOODS
0</v>
      </c>
    </row>
    <row r="109" spans="1:1" ht="404.25" x14ac:dyDescent="0.85">
      <c r="A109" s="32" t="str">
        <f>'BOX ORDER'!A115&amp;CHAR(10)&amp;CHAR(10)&amp;'BOX ORDER'!B115&amp;CHAR(10)&amp;'BOX ORDER'!P115&amp;CHAR(10)&amp;CHAR(10)&amp;'BOX ORDER'!E115&amp;CHAR(10)&amp;'BOX ORDER'!R115</f>
        <v xml:space="preserve">
BOX #
108
HOODS
0</v>
      </c>
    </row>
    <row r="110" spans="1:1" ht="404.25" x14ac:dyDescent="0.85">
      <c r="A110" s="32" t="str">
        <f>'BOX ORDER'!A116&amp;CHAR(10)&amp;CHAR(10)&amp;'BOX ORDER'!B116&amp;CHAR(10)&amp;'BOX ORDER'!P116&amp;CHAR(10)&amp;CHAR(10)&amp;'BOX ORDER'!E116&amp;CHAR(10)&amp;'BOX ORDER'!R116</f>
        <v xml:space="preserve">
BOX #
109
HOODS
0</v>
      </c>
    </row>
    <row r="111" spans="1:1" ht="404.25" x14ac:dyDescent="0.85">
      <c r="A111" s="32" t="str">
        <f>'BOX ORDER'!A117&amp;CHAR(10)&amp;CHAR(10)&amp;'BOX ORDER'!B117&amp;CHAR(10)&amp;'BOX ORDER'!P117&amp;CHAR(10)&amp;CHAR(10)&amp;'BOX ORDER'!E117&amp;CHAR(10)&amp;'BOX ORDER'!R117</f>
        <v xml:space="preserve">
BOX #
110
HOODS
0</v>
      </c>
    </row>
    <row r="112" spans="1:1" x14ac:dyDescent="0.85">
      <c r="A112" s="32"/>
    </row>
    <row r="113" spans="1:1" x14ac:dyDescent="0.85">
      <c r="A113" s="32"/>
    </row>
    <row r="114" spans="1:1" x14ac:dyDescent="0.85">
      <c r="A114" s="32"/>
    </row>
    <row r="115" spans="1:1" x14ac:dyDescent="0.85">
      <c r="A115" s="32"/>
    </row>
    <row r="116" spans="1:1" x14ac:dyDescent="0.85">
      <c r="A116" s="32"/>
    </row>
    <row r="117" spans="1:1" x14ac:dyDescent="0.85">
      <c r="A117" s="32"/>
    </row>
    <row r="118" spans="1:1" x14ac:dyDescent="0.85">
      <c r="A118" s="32"/>
    </row>
    <row r="119" spans="1:1" x14ac:dyDescent="0.85">
      <c r="A119" s="32"/>
    </row>
    <row r="120" spans="1:1" x14ac:dyDescent="0.85">
      <c r="A120" s="32"/>
    </row>
    <row r="121" spans="1:1" x14ac:dyDescent="0.85">
      <c r="A121" s="32"/>
    </row>
    <row r="122" spans="1:1" x14ac:dyDescent="0.85">
      <c r="A122" s="32"/>
    </row>
    <row r="123" spans="1:1" x14ac:dyDescent="0.85">
      <c r="A123" s="32"/>
    </row>
    <row r="124" spans="1:1" x14ac:dyDescent="0.85">
      <c r="A124" s="32"/>
    </row>
    <row r="125" spans="1:1" x14ac:dyDescent="0.85">
      <c r="A125" s="32"/>
    </row>
    <row r="126" spans="1:1" x14ac:dyDescent="0.85">
      <c r="A126" s="32"/>
    </row>
    <row r="127" spans="1:1" x14ac:dyDescent="0.85">
      <c r="A127" s="32"/>
    </row>
    <row r="128" spans="1:1" x14ac:dyDescent="0.85">
      <c r="A128" s="32"/>
    </row>
    <row r="129" spans="1:1" x14ac:dyDescent="0.85">
      <c r="A129" s="32"/>
    </row>
    <row r="130" spans="1:1" x14ac:dyDescent="0.85">
      <c r="A130" s="32"/>
    </row>
    <row r="131" spans="1:1" x14ac:dyDescent="0.85">
      <c r="A131" s="32"/>
    </row>
    <row r="132" spans="1:1" x14ac:dyDescent="0.85">
      <c r="A132" s="32"/>
    </row>
    <row r="133" spans="1:1" x14ac:dyDescent="0.85">
      <c r="A133" s="32"/>
    </row>
    <row r="134" spans="1:1" x14ac:dyDescent="0.85">
      <c r="A134" s="32"/>
    </row>
    <row r="135" spans="1:1" x14ac:dyDescent="0.85">
      <c r="A135" s="32"/>
    </row>
    <row r="136" spans="1:1" x14ac:dyDescent="0.85">
      <c r="A136" s="32"/>
    </row>
    <row r="137" spans="1:1" x14ac:dyDescent="0.85">
      <c r="A137" s="32"/>
    </row>
    <row r="138" spans="1:1" x14ac:dyDescent="0.85">
      <c r="A138" s="32"/>
    </row>
    <row r="139" spans="1:1" x14ac:dyDescent="0.85">
      <c r="A139" s="32"/>
    </row>
    <row r="140" spans="1:1" x14ac:dyDescent="0.85">
      <c r="A140" s="32"/>
    </row>
    <row r="141" spans="1:1" x14ac:dyDescent="0.85">
      <c r="A141" s="32"/>
    </row>
    <row r="142" spans="1:1" x14ac:dyDescent="0.85">
      <c r="A142" s="32"/>
    </row>
    <row r="143" spans="1:1" x14ac:dyDescent="0.85">
      <c r="A143" s="32"/>
    </row>
    <row r="144" spans="1:1" x14ac:dyDescent="0.85">
      <c r="A144" s="32"/>
    </row>
    <row r="145" spans="1:1" x14ac:dyDescent="0.85">
      <c r="A145" s="32"/>
    </row>
    <row r="146" spans="1:1" x14ac:dyDescent="0.85">
      <c r="A146" s="32"/>
    </row>
    <row r="147" spans="1:1" x14ac:dyDescent="0.85">
      <c r="A147" s="32"/>
    </row>
    <row r="148" spans="1:1" x14ac:dyDescent="0.85">
      <c r="A148" s="32"/>
    </row>
    <row r="149" spans="1:1" x14ac:dyDescent="0.85">
      <c r="A149" s="32"/>
    </row>
    <row r="150" spans="1:1" x14ac:dyDescent="0.85">
      <c r="A150" s="32"/>
    </row>
    <row r="151" spans="1:1" x14ac:dyDescent="0.85">
      <c r="A151" s="32"/>
    </row>
    <row r="152" spans="1:1" ht="404.25" x14ac:dyDescent="0.85">
      <c r="A152" s="32" t="str">
        <f>'BOX ORDER'!A158&amp;CHAR(10)&amp;CHAR(10)&amp;'BOX ORDER'!B158&amp;CHAR(10)&amp;'BOX ORDER'!P158&amp;CHAR(10)&amp;CHAR(10)&amp;'BOX ORDER'!E158&amp;CHAR(10)&amp;'BOX ORDER'!F158</f>
        <v xml:space="preserve">
</v>
      </c>
    </row>
    <row r="153" spans="1:1" ht="404.25" x14ac:dyDescent="0.85">
      <c r="A153" s="32" t="str">
        <f>'BOX ORDER'!A159&amp;CHAR(10)&amp;CHAR(10)&amp;'BOX ORDER'!B159&amp;CHAR(10)&amp;'BOX ORDER'!P159&amp;CHAR(10)&amp;CHAR(10)&amp;'BOX ORDER'!E159&amp;CHAR(10)&amp;'BOX ORDER'!F159</f>
        <v xml:space="preserve">
</v>
      </c>
    </row>
    <row r="154" spans="1:1" ht="404.25" x14ac:dyDescent="0.85">
      <c r="A154" s="32" t="str">
        <f>'BOX ORDER'!A160&amp;CHAR(10)&amp;CHAR(10)&amp;'BOX ORDER'!B160&amp;CHAR(10)&amp;'BOX ORDER'!P160&amp;CHAR(10)&amp;CHAR(10)&amp;'BOX ORDER'!E160&amp;CHAR(10)&amp;'BOX ORDER'!F160</f>
        <v xml:space="preserve">
</v>
      </c>
    </row>
    <row r="155" spans="1:1" ht="404.25" x14ac:dyDescent="0.85">
      <c r="A155" s="32" t="str">
        <f>'BOX ORDER'!A161&amp;CHAR(10)&amp;CHAR(10)&amp;'BOX ORDER'!B161&amp;CHAR(10)&amp;'BOX ORDER'!P161&amp;CHAR(10)&amp;CHAR(10)&amp;'BOX ORDER'!E161&amp;CHAR(10)&amp;'BOX ORDER'!F161</f>
        <v xml:space="preserve">
</v>
      </c>
    </row>
    <row r="156" spans="1:1" ht="404.25" x14ac:dyDescent="0.85">
      <c r="A156" s="32" t="str">
        <f>'BOX ORDER'!A162&amp;CHAR(10)&amp;CHAR(10)&amp;'BOX ORDER'!B162&amp;CHAR(10)&amp;'BOX ORDER'!P162&amp;CHAR(10)&amp;CHAR(10)&amp;'BOX ORDER'!E162&amp;CHAR(10)&amp;'BOX ORDER'!F162</f>
        <v xml:space="preserve">
</v>
      </c>
    </row>
    <row r="157" spans="1:1" ht="404.25" x14ac:dyDescent="0.85">
      <c r="A157" s="32" t="str">
        <f>'BOX ORDER'!A163&amp;CHAR(10)&amp;CHAR(10)&amp;'BOX ORDER'!B163&amp;CHAR(10)&amp;'BOX ORDER'!P163&amp;CHAR(10)&amp;CHAR(10)&amp;'BOX ORDER'!E163&amp;CHAR(10)&amp;'BOX ORDER'!F163</f>
        <v xml:space="preserve">
</v>
      </c>
    </row>
    <row r="158" spans="1:1" ht="404.25" x14ac:dyDescent="0.85">
      <c r="A158" s="32" t="str">
        <f>'BOX ORDER'!A164&amp;CHAR(10)&amp;CHAR(10)&amp;'BOX ORDER'!B164&amp;CHAR(10)&amp;'BOX ORDER'!P164&amp;CHAR(10)&amp;CHAR(10)&amp;'BOX ORDER'!E164&amp;CHAR(10)&amp;'BOX ORDER'!F164</f>
        <v xml:space="preserve">
</v>
      </c>
    </row>
    <row r="159" spans="1:1" ht="404.25" x14ac:dyDescent="0.85">
      <c r="A159" s="32" t="str">
        <f>'BOX ORDER'!A165&amp;CHAR(10)&amp;CHAR(10)&amp;'BOX ORDER'!B165&amp;CHAR(10)&amp;'BOX ORDER'!P165&amp;CHAR(10)&amp;CHAR(10)&amp;'BOX ORDER'!E165&amp;CHAR(10)&amp;'BOX ORDER'!F165</f>
        <v xml:space="preserve">
</v>
      </c>
    </row>
    <row r="160" spans="1:1" ht="404.25" x14ac:dyDescent="0.85">
      <c r="A160" s="32" t="str">
        <f>'BOX ORDER'!A166&amp;CHAR(10)&amp;CHAR(10)&amp;'BOX ORDER'!B166&amp;CHAR(10)&amp;'BOX ORDER'!P166&amp;CHAR(10)&amp;CHAR(10)&amp;'BOX ORDER'!E166&amp;CHAR(10)&amp;'BOX ORDER'!F166</f>
        <v xml:space="preserve">
</v>
      </c>
    </row>
    <row r="161" spans="1:1" ht="404.25" x14ac:dyDescent="0.85">
      <c r="A161" s="32" t="str">
        <f>'BOX ORDER'!A167&amp;CHAR(10)&amp;CHAR(10)&amp;'BOX ORDER'!B167&amp;CHAR(10)&amp;'BOX ORDER'!P167&amp;CHAR(10)&amp;CHAR(10)&amp;'BOX ORDER'!E167&amp;CHAR(10)&amp;'BOX ORDER'!F167</f>
        <v xml:space="preserve">
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CD1A-5F2A-4A02-9107-0F023130319A}">
  <dimension ref="A1:F13"/>
  <sheetViews>
    <sheetView workbookViewId="0">
      <selection activeCell="F6" sqref="F6"/>
    </sheetView>
  </sheetViews>
  <sheetFormatPr defaultRowHeight="15.75" x14ac:dyDescent="0.25"/>
  <cols>
    <col min="1" max="6" width="20.75" customWidth="1"/>
  </cols>
  <sheetData>
    <row r="1" spans="1:6" ht="30" x14ac:dyDescent="0.25">
      <c r="A1" s="76" t="s">
        <v>62</v>
      </c>
      <c r="B1" s="76" t="s">
        <v>56</v>
      </c>
      <c r="C1" s="76" t="s">
        <v>57</v>
      </c>
      <c r="D1" s="76" t="s">
        <v>58</v>
      </c>
      <c r="E1" s="76" t="s">
        <v>59</v>
      </c>
      <c r="F1" s="76" t="s">
        <v>60</v>
      </c>
    </row>
    <row r="2" spans="1:6" ht="30" customHeight="1" x14ac:dyDescent="0.25">
      <c r="A2" s="82">
        <v>45261</v>
      </c>
      <c r="B2" s="81" t="s">
        <v>63</v>
      </c>
      <c r="C2" s="78">
        <v>45226</v>
      </c>
      <c r="D2" s="77" t="s">
        <v>61</v>
      </c>
      <c r="E2" s="78">
        <v>45266</v>
      </c>
      <c r="F2" s="77" t="s">
        <v>64</v>
      </c>
    </row>
    <row r="3" spans="1:6" ht="30" customHeight="1" x14ac:dyDescent="0.3">
      <c r="A3" s="79"/>
      <c r="B3" s="80"/>
      <c r="C3" s="80"/>
      <c r="D3" s="80"/>
      <c r="E3" s="80"/>
      <c r="F3" s="80"/>
    </row>
    <row r="4" spans="1:6" ht="30" customHeight="1" x14ac:dyDescent="0.3">
      <c r="A4" s="79"/>
      <c r="B4" s="80"/>
      <c r="C4" s="80"/>
      <c r="D4" s="80"/>
      <c r="E4" s="80"/>
      <c r="F4" s="80"/>
    </row>
    <row r="5" spans="1:6" ht="30" customHeight="1" x14ac:dyDescent="0.3">
      <c r="A5" s="79"/>
      <c r="B5" s="80"/>
      <c r="C5" s="80"/>
      <c r="D5" s="80"/>
      <c r="E5" s="80"/>
      <c r="F5" s="80"/>
    </row>
    <row r="6" spans="1:6" ht="30" customHeight="1" x14ac:dyDescent="0.3">
      <c r="A6" s="79"/>
      <c r="B6" s="80"/>
      <c r="C6" s="80"/>
      <c r="D6" s="80"/>
      <c r="E6" s="80"/>
      <c r="F6" s="80"/>
    </row>
    <row r="7" spans="1:6" ht="30" customHeight="1" x14ac:dyDescent="0.3">
      <c r="A7" s="79"/>
      <c r="B7" s="80"/>
      <c r="C7" s="80"/>
      <c r="D7" s="80"/>
      <c r="E7" s="80"/>
      <c r="F7" s="80"/>
    </row>
    <row r="8" spans="1:6" ht="30" customHeight="1" x14ac:dyDescent="0.3">
      <c r="A8" s="79"/>
      <c r="B8" s="80"/>
      <c r="C8" s="80"/>
      <c r="D8" s="80"/>
      <c r="E8" s="80"/>
      <c r="F8" s="80"/>
    </row>
    <row r="9" spans="1:6" ht="30" customHeight="1" x14ac:dyDescent="0.3">
      <c r="A9" s="79"/>
      <c r="B9" s="80"/>
      <c r="C9" s="80"/>
      <c r="D9" s="80"/>
      <c r="E9" s="80"/>
      <c r="F9" s="80"/>
    </row>
    <row r="10" spans="1:6" ht="30" customHeight="1" x14ac:dyDescent="0.3">
      <c r="A10" s="79"/>
      <c r="B10" s="80"/>
      <c r="C10" s="80"/>
      <c r="D10" s="80"/>
      <c r="E10" s="80"/>
      <c r="F10" s="80"/>
    </row>
    <row r="11" spans="1:6" ht="30" customHeight="1" x14ac:dyDescent="0.3">
      <c r="A11" s="79"/>
      <c r="B11" s="80"/>
      <c r="C11" s="80"/>
      <c r="D11" s="80"/>
      <c r="E11" s="80"/>
      <c r="F11" s="80"/>
    </row>
    <row r="12" spans="1:6" ht="30" customHeight="1" x14ac:dyDescent="0.3">
      <c r="A12" s="79"/>
      <c r="B12" s="80"/>
      <c r="C12" s="80"/>
      <c r="D12" s="80"/>
      <c r="E12" s="80"/>
      <c r="F12" s="80"/>
    </row>
    <row r="13" spans="1:6" ht="30" customHeight="1" x14ac:dyDescent="0.3">
      <c r="A13" s="79"/>
      <c r="B13" s="80"/>
      <c r="C13" s="80"/>
      <c r="D13" s="80"/>
      <c r="E13" s="80"/>
      <c r="F13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22FCD-CD12-4ABE-BECF-00964317305E}">
  <dimension ref="A1:A132"/>
  <sheetViews>
    <sheetView zoomScale="40" zoomScaleNormal="40" workbookViewId="0">
      <selection activeCell="A2" sqref="A2"/>
    </sheetView>
  </sheetViews>
  <sheetFormatPr defaultColWidth="66.375" defaultRowHeight="57.75" x14ac:dyDescent="0.85"/>
  <cols>
    <col min="1" max="1" width="43.875" style="34" customWidth="1"/>
    <col min="2" max="16384" width="66.375" style="33"/>
  </cols>
  <sheetData>
    <row r="1" spans="1:1" ht="115.5" x14ac:dyDescent="0.85">
      <c r="A1" s="75" t="s">
        <v>54</v>
      </c>
    </row>
    <row r="2" spans="1:1" ht="408" customHeight="1" x14ac:dyDescent="0.85">
      <c r="A2" s="32" t="str">
        <f>'BOX ORDER'!A8&amp;CHAR(10)&amp;CHAR(10)&amp;'BOX ORDER'!B8&amp;CHAR(10)&amp;'BOX ORDER'!D8&amp;CHAR(10)&amp;CHAR(10)&amp;'BOX ORDER'!E8&amp;CHAR(10)&amp;'BOX ORDER'!F8</f>
        <v>XP0096
BOX #
1
HOODS
1 &amp; 2</v>
      </c>
    </row>
    <row r="3" spans="1:1" ht="409.5" x14ac:dyDescent="0.85">
      <c r="A3" s="32" t="str">
        <f>'BOX ORDER'!A9&amp;CHAR(10)&amp;CHAR(10)&amp;'BOX ORDER'!B9&amp;CHAR(10)&amp;'BOX ORDER'!D9&amp;CHAR(10)&amp;CHAR(10)&amp;'BOX ORDER'!E9&amp;CHAR(10)&amp;'BOX ORDER'!F9</f>
        <v xml:space="preserve">
BOX #
2
HOODS
</v>
      </c>
    </row>
    <row r="4" spans="1:1" ht="409.5" x14ac:dyDescent="0.85">
      <c r="A4" s="32" t="str">
        <f>'BOX ORDER'!A10&amp;CHAR(10)&amp;CHAR(10)&amp;'BOX ORDER'!B10&amp;CHAR(10)&amp;'BOX ORDER'!D10&amp;CHAR(10)&amp;CHAR(10)&amp;'BOX ORDER'!E10&amp;CHAR(10)&amp;'BOX ORDER'!F10</f>
        <v xml:space="preserve">
BOX #
3
HOODS
</v>
      </c>
    </row>
    <row r="5" spans="1:1" ht="404.25" x14ac:dyDescent="0.85">
      <c r="A5" s="32" t="str">
        <f>'BOX ORDER'!A11&amp;CHAR(10)&amp;CHAR(10)&amp;'BOX ORDER'!B11&amp;CHAR(10)&amp;'BOX ORDER'!D11&amp;CHAR(10)&amp;CHAR(10)&amp;'BOX ORDER'!E11&amp;CHAR(10)&amp;'BOX ORDER'!F11</f>
        <v xml:space="preserve">
BOX #
4
HOODS
</v>
      </c>
    </row>
    <row r="6" spans="1:1" ht="404.25" x14ac:dyDescent="0.85">
      <c r="A6" s="32" t="str">
        <f>'BOX ORDER'!A12&amp;CHAR(10)&amp;CHAR(10)&amp;'BOX ORDER'!B12&amp;CHAR(10)&amp;'BOX ORDER'!D12&amp;CHAR(10)&amp;CHAR(10)&amp;'BOX ORDER'!E12&amp;CHAR(10)&amp;'BOX ORDER'!F12</f>
        <v xml:space="preserve">
BOX #
5
HOODS
</v>
      </c>
    </row>
    <row r="7" spans="1:1" ht="404.25" x14ac:dyDescent="0.85">
      <c r="A7" s="32" t="str">
        <f>'BOX ORDER'!A13&amp;CHAR(10)&amp;CHAR(10)&amp;'BOX ORDER'!B13&amp;CHAR(10)&amp;'BOX ORDER'!D13&amp;CHAR(10)&amp;CHAR(10)&amp;'BOX ORDER'!E13&amp;CHAR(10)&amp;'BOX ORDER'!F13</f>
        <v xml:space="preserve">
BOX #
6
HOODS
</v>
      </c>
    </row>
    <row r="8" spans="1:1" ht="404.25" x14ac:dyDescent="0.85">
      <c r="A8" s="32" t="str">
        <f>'BOX ORDER'!A14&amp;CHAR(10)&amp;CHAR(10)&amp;'BOX ORDER'!B14&amp;CHAR(10)&amp;'BOX ORDER'!D14&amp;CHAR(10)&amp;CHAR(10)&amp;'BOX ORDER'!E14&amp;CHAR(10)&amp;'BOX ORDER'!F14</f>
        <v xml:space="preserve">
BOX #
7
HOODS
</v>
      </c>
    </row>
    <row r="9" spans="1:1" ht="404.25" x14ac:dyDescent="0.85">
      <c r="A9" s="32" t="str">
        <f>'BOX ORDER'!A15&amp;CHAR(10)&amp;CHAR(10)&amp;'BOX ORDER'!B15&amp;CHAR(10)&amp;'BOX ORDER'!D15&amp;CHAR(10)&amp;CHAR(10)&amp;'BOX ORDER'!E15&amp;CHAR(10)&amp;'BOX ORDER'!F15</f>
        <v xml:space="preserve">
BOX #
8
HOODS
</v>
      </c>
    </row>
    <row r="10" spans="1:1" x14ac:dyDescent="0.85">
      <c r="A10" s="32" t="e">
        <f>'BOX ORDER'!A16&amp;CHAR(10)&amp;CHAR(10)&amp;'BOX ORDER'!B16&amp;CHAR(10)&amp;'BOX ORDER'!D16&amp;CHAR(10)&amp;CHAR(10)&amp;'BOX ORDER'!E16&amp;CHAR(10)&amp;'BOX ORDER'!#REF!</f>
        <v>#REF!</v>
      </c>
    </row>
    <row r="11" spans="1:1" ht="404.25" x14ac:dyDescent="0.85">
      <c r="A11" s="32" t="str">
        <f>'BOX ORDER'!A17&amp;CHAR(10)&amp;CHAR(10)&amp;'BOX ORDER'!B17&amp;CHAR(10)&amp;'BOX ORDER'!D17&amp;CHAR(10)&amp;CHAR(10)&amp;'BOX ORDER'!E17&amp;CHAR(10)&amp;'BOX ORDER'!F17</f>
        <v xml:space="preserve">
BOX #
10
HOODS
</v>
      </c>
    </row>
    <row r="12" spans="1:1" ht="404.25" x14ac:dyDescent="0.85">
      <c r="A12" s="32" t="str">
        <f>'BOX ORDER'!A18&amp;CHAR(10)&amp;CHAR(10)&amp;'BOX ORDER'!B18&amp;CHAR(10)&amp;'BOX ORDER'!D18&amp;CHAR(10)&amp;CHAR(10)&amp;'BOX ORDER'!E18&amp;CHAR(10)&amp;'BOX ORDER'!F18</f>
        <v xml:space="preserve">
BOX #
11
HOODS
</v>
      </c>
    </row>
    <row r="13" spans="1:1" ht="404.25" x14ac:dyDescent="0.85">
      <c r="A13" s="32" t="str">
        <f>'BOX ORDER'!A19&amp;CHAR(10)&amp;CHAR(10)&amp;'BOX ORDER'!B19&amp;CHAR(10)&amp;'BOX ORDER'!D19&amp;CHAR(10)&amp;CHAR(10)&amp;'BOX ORDER'!E19&amp;CHAR(10)&amp;'BOX ORDER'!F19</f>
        <v xml:space="preserve">
BOX #
12
HOODS
</v>
      </c>
    </row>
    <row r="14" spans="1:1" ht="404.25" x14ac:dyDescent="0.85">
      <c r="A14" s="32" t="str">
        <f>'BOX ORDER'!A20&amp;CHAR(10)&amp;CHAR(10)&amp;'BOX ORDER'!B20&amp;CHAR(10)&amp;'BOX ORDER'!D20&amp;CHAR(10)&amp;CHAR(10)&amp;'BOX ORDER'!E20&amp;CHAR(10)&amp;'BOX ORDER'!F20</f>
        <v xml:space="preserve">
BOX #
13
HOODS
</v>
      </c>
    </row>
    <row r="15" spans="1:1" ht="404.25" x14ac:dyDescent="0.85">
      <c r="A15" s="32" t="str">
        <f>'BOX ORDER'!A21&amp;CHAR(10)&amp;CHAR(10)&amp;'BOX ORDER'!B21&amp;CHAR(10)&amp;'BOX ORDER'!D21&amp;CHAR(10)&amp;CHAR(10)&amp;'BOX ORDER'!E21&amp;CHAR(10)&amp;'BOX ORDER'!F21</f>
        <v xml:space="preserve">
BOX #
14
HOODS
</v>
      </c>
    </row>
    <row r="16" spans="1:1" ht="404.25" x14ac:dyDescent="0.85">
      <c r="A16" s="32" t="str">
        <f>'BOX ORDER'!A22&amp;CHAR(10)&amp;CHAR(10)&amp;'BOX ORDER'!B22&amp;CHAR(10)&amp;'BOX ORDER'!D22&amp;CHAR(10)&amp;CHAR(10)&amp;'BOX ORDER'!E22&amp;CHAR(10)&amp;'BOX ORDER'!F22</f>
        <v xml:space="preserve">
BOX #
15
HOODS
</v>
      </c>
    </row>
    <row r="17" spans="1:1" ht="404.25" x14ac:dyDescent="0.85">
      <c r="A17" s="32" t="str">
        <f>'BOX ORDER'!A23&amp;CHAR(10)&amp;CHAR(10)&amp;'BOX ORDER'!B23&amp;CHAR(10)&amp;'BOX ORDER'!D23&amp;CHAR(10)&amp;CHAR(10)&amp;'BOX ORDER'!E23&amp;CHAR(10)&amp;'BOX ORDER'!F23</f>
        <v xml:space="preserve">
BOX #
16
HOODS
</v>
      </c>
    </row>
    <row r="18" spans="1:1" ht="404.25" x14ac:dyDescent="0.85">
      <c r="A18" s="32" t="str">
        <f>'BOX ORDER'!A24&amp;CHAR(10)&amp;CHAR(10)&amp;'BOX ORDER'!B24&amp;CHAR(10)&amp;'BOX ORDER'!D24&amp;CHAR(10)&amp;CHAR(10)&amp;'BOX ORDER'!E24&amp;CHAR(10)&amp;'BOX ORDER'!F24</f>
        <v xml:space="preserve">
BOX #
17
HOODS
</v>
      </c>
    </row>
    <row r="19" spans="1:1" ht="404.25" x14ac:dyDescent="0.85">
      <c r="A19" s="32" t="str">
        <f>'BOX ORDER'!A25&amp;CHAR(10)&amp;CHAR(10)&amp;'BOX ORDER'!B25&amp;CHAR(10)&amp;'BOX ORDER'!D25&amp;CHAR(10)&amp;CHAR(10)&amp;'BOX ORDER'!E25&amp;CHAR(10)&amp;'BOX ORDER'!F25</f>
        <v xml:space="preserve">
BOX #
18
HOODS
</v>
      </c>
    </row>
    <row r="20" spans="1:1" ht="404.25" x14ac:dyDescent="0.85">
      <c r="A20" s="32" t="str">
        <f>'BOX ORDER'!A26&amp;CHAR(10)&amp;CHAR(10)&amp;'BOX ORDER'!B26&amp;CHAR(10)&amp;'BOX ORDER'!D26&amp;CHAR(10)&amp;CHAR(10)&amp;'BOX ORDER'!E26&amp;CHAR(10)&amp;'BOX ORDER'!F26</f>
        <v xml:space="preserve">
BOX #
19
HOODS
</v>
      </c>
    </row>
    <row r="21" spans="1:1" ht="404.25" x14ac:dyDescent="0.85">
      <c r="A21" s="32" t="str">
        <f>'BOX ORDER'!A27&amp;CHAR(10)&amp;CHAR(10)&amp;'BOX ORDER'!B27&amp;CHAR(10)&amp;'BOX ORDER'!D27&amp;CHAR(10)&amp;CHAR(10)&amp;'BOX ORDER'!E27&amp;CHAR(10)&amp;'BOX ORDER'!F27</f>
        <v xml:space="preserve">
BOX #
20
HOODS
</v>
      </c>
    </row>
    <row r="22" spans="1:1" ht="404.25" x14ac:dyDescent="0.85">
      <c r="A22" s="32" t="str">
        <f>'BOX ORDER'!A28&amp;CHAR(10)&amp;CHAR(10)&amp;'BOX ORDER'!B28&amp;CHAR(10)&amp;'BOX ORDER'!D28&amp;CHAR(10)&amp;CHAR(10)&amp;'BOX ORDER'!E28&amp;CHAR(10)&amp;'BOX ORDER'!F28</f>
        <v xml:space="preserve">
BOX #
21
HOODS
</v>
      </c>
    </row>
    <row r="23" spans="1:1" ht="404.25" x14ac:dyDescent="0.85">
      <c r="A23" s="32" t="str">
        <f>'BOX ORDER'!A29&amp;CHAR(10)&amp;CHAR(10)&amp;'BOX ORDER'!B29&amp;CHAR(10)&amp;'BOX ORDER'!D29&amp;CHAR(10)&amp;CHAR(10)&amp;'BOX ORDER'!E29&amp;CHAR(10)&amp;'BOX ORDER'!F29</f>
        <v xml:space="preserve">
BOX #
22
HOODS
</v>
      </c>
    </row>
    <row r="24" spans="1:1" ht="404.25" x14ac:dyDescent="0.85">
      <c r="A24" s="32" t="str">
        <f>'BOX ORDER'!A30&amp;CHAR(10)&amp;CHAR(10)&amp;'BOX ORDER'!B30&amp;CHAR(10)&amp;'BOX ORDER'!D30&amp;CHAR(10)&amp;CHAR(10)&amp;'BOX ORDER'!E30&amp;CHAR(10)&amp;'BOX ORDER'!F30</f>
        <v xml:space="preserve">
BOX #
23
HOODS
</v>
      </c>
    </row>
    <row r="25" spans="1:1" ht="404.25" x14ac:dyDescent="0.85">
      <c r="A25" s="32" t="str">
        <f>'BOX ORDER'!A31&amp;CHAR(10)&amp;CHAR(10)&amp;'BOX ORDER'!B31&amp;CHAR(10)&amp;'BOX ORDER'!D31&amp;CHAR(10)&amp;CHAR(10)&amp;'BOX ORDER'!E31&amp;CHAR(10)&amp;'BOX ORDER'!F31</f>
        <v xml:space="preserve">
BOX #
24
HOODS
</v>
      </c>
    </row>
    <row r="26" spans="1:1" ht="404.25" x14ac:dyDescent="0.85">
      <c r="A26" s="32" t="str">
        <f>'BOX ORDER'!A32&amp;CHAR(10)&amp;CHAR(10)&amp;'BOX ORDER'!B32&amp;CHAR(10)&amp;'BOX ORDER'!D32&amp;CHAR(10)&amp;CHAR(10)&amp;'BOX ORDER'!E32&amp;CHAR(10)&amp;'BOX ORDER'!F32</f>
        <v xml:space="preserve">
BOX #
25
HOODS
</v>
      </c>
    </row>
    <row r="27" spans="1:1" ht="404.25" x14ac:dyDescent="0.85">
      <c r="A27" s="32" t="str">
        <f>'BOX ORDER'!A33&amp;CHAR(10)&amp;CHAR(10)&amp;'BOX ORDER'!B33&amp;CHAR(10)&amp;'BOX ORDER'!D33&amp;CHAR(10)&amp;CHAR(10)&amp;'BOX ORDER'!E33&amp;CHAR(10)&amp;'BOX ORDER'!F33</f>
        <v xml:space="preserve">
BOX #
26
HOODS
</v>
      </c>
    </row>
    <row r="28" spans="1:1" ht="404.25" x14ac:dyDescent="0.85">
      <c r="A28" s="32" t="str">
        <f>'BOX ORDER'!A34&amp;CHAR(10)&amp;CHAR(10)&amp;'BOX ORDER'!B34&amp;CHAR(10)&amp;'BOX ORDER'!D34&amp;CHAR(10)&amp;CHAR(10)&amp;'BOX ORDER'!E34&amp;CHAR(10)&amp;'BOX ORDER'!F34</f>
        <v xml:space="preserve">
BOX #
27
HOODS
</v>
      </c>
    </row>
    <row r="29" spans="1:1" ht="404.25" x14ac:dyDescent="0.85">
      <c r="A29" s="32" t="str">
        <f>'BOX ORDER'!A35&amp;CHAR(10)&amp;CHAR(10)&amp;'BOX ORDER'!B35&amp;CHAR(10)&amp;'BOX ORDER'!D35&amp;CHAR(10)&amp;CHAR(10)&amp;'BOX ORDER'!E35&amp;CHAR(10)&amp;'BOX ORDER'!F35</f>
        <v xml:space="preserve">
BOX #
28
HOODS
</v>
      </c>
    </row>
    <row r="30" spans="1:1" ht="404.25" x14ac:dyDescent="0.85">
      <c r="A30" s="32" t="str">
        <f>'BOX ORDER'!A36&amp;CHAR(10)&amp;CHAR(10)&amp;'BOX ORDER'!B36&amp;CHAR(10)&amp;'BOX ORDER'!D36&amp;CHAR(10)&amp;CHAR(10)&amp;'BOX ORDER'!E36&amp;CHAR(10)&amp;'BOX ORDER'!F36</f>
        <v xml:space="preserve">
BOX #
29
HOODS
</v>
      </c>
    </row>
    <row r="31" spans="1:1" ht="404.25" x14ac:dyDescent="0.85">
      <c r="A31" s="32" t="str">
        <f>'BOX ORDER'!A37&amp;CHAR(10)&amp;CHAR(10)&amp;'BOX ORDER'!B37&amp;CHAR(10)&amp;'BOX ORDER'!D37&amp;CHAR(10)&amp;CHAR(10)&amp;'BOX ORDER'!E37&amp;CHAR(10)&amp;'BOX ORDER'!F37</f>
        <v xml:space="preserve">
BOX #
30
HOODS
</v>
      </c>
    </row>
    <row r="32" spans="1:1" ht="404.25" x14ac:dyDescent="0.85">
      <c r="A32" s="32" t="str">
        <f>'BOX ORDER'!A38&amp;CHAR(10)&amp;CHAR(10)&amp;'BOX ORDER'!B38&amp;CHAR(10)&amp;'BOX ORDER'!D38&amp;CHAR(10)&amp;CHAR(10)&amp;'BOX ORDER'!E38&amp;CHAR(10)&amp;'BOX ORDER'!F38</f>
        <v xml:space="preserve">
BOX #
31
HOODS
</v>
      </c>
    </row>
    <row r="33" spans="1:1" ht="404.25" x14ac:dyDescent="0.85">
      <c r="A33" s="32" t="str">
        <f>'BOX ORDER'!A39&amp;CHAR(10)&amp;CHAR(10)&amp;'BOX ORDER'!B39&amp;CHAR(10)&amp;'BOX ORDER'!D39&amp;CHAR(10)&amp;CHAR(10)&amp;'BOX ORDER'!E39&amp;CHAR(10)&amp;'BOX ORDER'!F39</f>
        <v xml:space="preserve">
BOX #
32
HOODS
</v>
      </c>
    </row>
    <row r="34" spans="1:1" ht="404.25" x14ac:dyDescent="0.85">
      <c r="A34" s="32" t="str">
        <f>'BOX ORDER'!A40&amp;CHAR(10)&amp;CHAR(10)&amp;'BOX ORDER'!B40&amp;CHAR(10)&amp;'BOX ORDER'!D40&amp;CHAR(10)&amp;CHAR(10)&amp;'BOX ORDER'!E40&amp;CHAR(10)&amp;'BOX ORDER'!F40</f>
        <v xml:space="preserve">
BOX #
33
HOODS
</v>
      </c>
    </row>
    <row r="35" spans="1:1" ht="404.25" x14ac:dyDescent="0.85">
      <c r="A35" s="32" t="str">
        <f>'BOX ORDER'!A41&amp;CHAR(10)&amp;CHAR(10)&amp;'BOX ORDER'!B41&amp;CHAR(10)&amp;'BOX ORDER'!D41&amp;CHAR(10)&amp;CHAR(10)&amp;'BOX ORDER'!E41&amp;CHAR(10)&amp;'BOX ORDER'!F41</f>
        <v xml:space="preserve">
BOX #
34
HOODS
</v>
      </c>
    </row>
    <row r="36" spans="1:1" ht="404.25" x14ac:dyDescent="0.85">
      <c r="A36" s="32" t="str">
        <f>'BOX ORDER'!A42&amp;CHAR(10)&amp;CHAR(10)&amp;'BOX ORDER'!B42&amp;CHAR(10)&amp;'BOX ORDER'!D42&amp;CHAR(10)&amp;CHAR(10)&amp;'BOX ORDER'!E42&amp;CHAR(10)&amp;'BOX ORDER'!F42</f>
        <v xml:space="preserve">
BOX #
35
HOODS
</v>
      </c>
    </row>
    <row r="37" spans="1:1" ht="404.25" x14ac:dyDescent="0.85">
      <c r="A37" s="32" t="str">
        <f>'BOX ORDER'!A43&amp;CHAR(10)&amp;CHAR(10)&amp;'BOX ORDER'!B43&amp;CHAR(10)&amp;'BOX ORDER'!D43&amp;CHAR(10)&amp;CHAR(10)&amp;'BOX ORDER'!E43&amp;CHAR(10)&amp;'BOX ORDER'!F43</f>
        <v xml:space="preserve">
BOX #
36
HOODS
</v>
      </c>
    </row>
    <row r="38" spans="1:1" ht="404.25" x14ac:dyDescent="0.85">
      <c r="A38" s="32" t="str">
        <f>'BOX ORDER'!A44&amp;CHAR(10)&amp;CHAR(10)&amp;'BOX ORDER'!B44&amp;CHAR(10)&amp;'BOX ORDER'!D44&amp;CHAR(10)&amp;CHAR(10)&amp;'BOX ORDER'!E44&amp;CHAR(10)&amp;'BOX ORDER'!F44</f>
        <v xml:space="preserve">
BOX #
37
HOODS
</v>
      </c>
    </row>
    <row r="39" spans="1:1" ht="404.25" x14ac:dyDescent="0.85">
      <c r="A39" s="32" t="str">
        <f>'BOX ORDER'!A45&amp;CHAR(10)&amp;CHAR(10)&amp;'BOX ORDER'!B45&amp;CHAR(10)&amp;'BOX ORDER'!D45&amp;CHAR(10)&amp;CHAR(10)&amp;'BOX ORDER'!E45&amp;CHAR(10)&amp;'BOX ORDER'!F45</f>
        <v xml:space="preserve">
BOX #
38
HOODS
</v>
      </c>
    </row>
    <row r="40" spans="1:1" ht="404.25" x14ac:dyDescent="0.85">
      <c r="A40" s="32" t="str">
        <f>'BOX ORDER'!A46&amp;CHAR(10)&amp;CHAR(10)&amp;'BOX ORDER'!B46&amp;CHAR(10)&amp;'BOX ORDER'!D46&amp;CHAR(10)&amp;CHAR(10)&amp;'BOX ORDER'!E46&amp;CHAR(10)&amp;'BOX ORDER'!F46</f>
        <v xml:space="preserve">
BOX #
39
HOODS
</v>
      </c>
    </row>
    <row r="41" spans="1:1" ht="404.25" x14ac:dyDescent="0.85">
      <c r="A41" s="32" t="str">
        <f>'BOX ORDER'!A47&amp;CHAR(10)&amp;CHAR(10)&amp;'BOX ORDER'!B47&amp;CHAR(10)&amp;'BOX ORDER'!D47&amp;CHAR(10)&amp;CHAR(10)&amp;'BOX ORDER'!E47&amp;CHAR(10)&amp;'BOX ORDER'!F47</f>
        <v xml:space="preserve">
BOX #
40
HOODS
</v>
      </c>
    </row>
    <row r="42" spans="1:1" ht="404.25" x14ac:dyDescent="0.85">
      <c r="A42" s="32" t="str">
        <f>'BOX ORDER'!A48&amp;CHAR(10)&amp;CHAR(10)&amp;'BOX ORDER'!B48&amp;CHAR(10)&amp;'BOX ORDER'!D48&amp;CHAR(10)&amp;CHAR(10)&amp;'BOX ORDER'!E48&amp;CHAR(10)&amp;'BOX ORDER'!F48</f>
        <v xml:space="preserve">
BOX #
41
HOODS
</v>
      </c>
    </row>
    <row r="43" spans="1:1" ht="404.25" x14ac:dyDescent="0.85">
      <c r="A43" s="32" t="str">
        <f>'BOX ORDER'!A49&amp;CHAR(10)&amp;CHAR(10)&amp;'BOX ORDER'!B49&amp;CHAR(10)&amp;'BOX ORDER'!D49&amp;CHAR(10)&amp;CHAR(10)&amp;'BOX ORDER'!E49&amp;CHAR(10)&amp;'BOX ORDER'!F49</f>
        <v xml:space="preserve">
BOX #
42
HOODS
</v>
      </c>
    </row>
    <row r="44" spans="1:1" ht="404.25" x14ac:dyDescent="0.85">
      <c r="A44" s="32" t="str">
        <f>'BOX ORDER'!A50&amp;CHAR(10)&amp;CHAR(10)&amp;'BOX ORDER'!B50&amp;CHAR(10)&amp;'BOX ORDER'!D50&amp;CHAR(10)&amp;CHAR(10)&amp;'BOX ORDER'!E50&amp;CHAR(10)&amp;'BOX ORDER'!F50</f>
        <v xml:space="preserve">
BOX #
43
HOODS
</v>
      </c>
    </row>
    <row r="45" spans="1:1" ht="404.25" x14ac:dyDescent="0.85">
      <c r="A45" s="32" t="str">
        <f>'BOX ORDER'!A51&amp;CHAR(10)&amp;CHAR(10)&amp;'BOX ORDER'!B51&amp;CHAR(10)&amp;'BOX ORDER'!D51&amp;CHAR(10)&amp;CHAR(10)&amp;'BOX ORDER'!E51&amp;CHAR(10)&amp;'BOX ORDER'!F51</f>
        <v xml:space="preserve">
BOX #
44
HOODS
</v>
      </c>
    </row>
    <row r="46" spans="1:1" ht="404.25" x14ac:dyDescent="0.85">
      <c r="A46" s="32" t="str">
        <f>'BOX ORDER'!A52&amp;CHAR(10)&amp;CHAR(10)&amp;'BOX ORDER'!B52&amp;CHAR(10)&amp;'BOX ORDER'!D52&amp;CHAR(10)&amp;CHAR(10)&amp;'BOX ORDER'!E52&amp;CHAR(10)&amp;'BOX ORDER'!F52</f>
        <v xml:space="preserve">
BOX #
45
HOODS
</v>
      </c>
    </row>
    <row r="47" spans="1:1" ht="404.25" x14ac:dyDescent="0.85">
      <c r="A47" s="32" t="str">
        <f>'BOX ORDER'!A53&amp;CHAR(10)&amp;CHAR(10)&amp;'BOX ORDER'!B53&amp;CHAR(10)&amp;'BOX ORDER'!D53&amp;CHAR(10)&amp;CHAR(10)&amp;'BOX ORDER'!E53&amp;CHAR(10)&amp;'BOX ORDER'!F53</f>
        <v xml:space="preserve">
BOX #
46
HOODS
</v>
      </c>
    </row>
    <row r="48" spans="1:1" ht="404.25" x14ac:dyDescent="0.85">
      <c r="A48" s="32" t="str">
        <f>'BOX ORDER'!A54&amp;CHAR(10)&amp;CHAR(10)&amp;'BOX ORDER'!B54&amp;CHAR(10)&amp;'BOX ORDER'!D54&amp;CHAR(10)&amp;CHAR(10)&amp;'BOX ORDER'!E54&amp;CHAR(10)&amp;'BOX ORDER'!F54</f>
        <v xml:space="preserve">
BOX #
47
HOODS
</v>
      </c>
    </row>
    <row r="49" spans="1:1" ht="404.25" x14ac:dyDescent="0.85">
      <c r="A49" s="32" t="str">
        <f>'BOX ORDER'!A55&amp;CHAR(10)&amp;CHAR(10)&amp;'BOX ORDER'!B55&amp;CHAR(10)&amp;'BOX ORDER'!D55&amp;CHAR(10)&amp;CHAR(10)&amp;'BOX ORDER'!E55&amp;CHAR(10)&amp;'BOX ORDER'!F55</f>
        <v xml:space="preserve">
BOX #
48
HOODS
</v>
      </c>
    </row>
    <row r="50" spans="1:1" ht="404.25" x14ac:dyDescent="0.85">
      <c r="A50" s="32" t="str">
        <f>'BOX ORDER'!A56&amp;CHAR(10)&amp;CHAR(10)&amp;'BOX ORDER'!B56&amp;CHAR(10)&amp;'BOX ORDER'!D56&amp;CHAR(10)&amp;CHAR(10)&amp;'BOX ORDER'!E56&amp;CHAR(10)&amp;'BOX ORDER'!F56</f>
        <v xml:space="preserve">
BOX #
49
HOODS
</v>
      </c>
    </row>
    <row r="51" spans="1:1" ht="404.25" x14ac:dyDescent="0.85">
      <c r="A51" s="32" t="str">
        <f>'BOX ORDER'!A57&amp;CHAR(10)&amp;CHAR(10)&amp;'BOX ORDER'!B57&amp;CHAR(10)&amp;'BOX ORDER'!D57&amp;CHAR(10)&amp;CHAR(10)&amp;'BOX ORDER'!E57&amp;CHAR(10)&amp;'BOX ORDER'!F57</f>
        <v xml:space="preserve">
BOX #
50
HOODS
</v>
      </c>
    </row>
    <row r="52" spans="1:1" ht="404.25" x14ac:dyDescent="0.85">
      <c r="A52" s="32" t="str">
        <f>'BOX ORDER'!A58&amp;CHAR(10)&amp;CHAR(10)&amp;'BOX ORDER'!B58&amp;CHAR(10)&amp;'BOX ORDER'!D58&amp;CHAR(10)&amp;CHAR(10)&amp;'BOX ORDER'!E58&amp;CHAR(10)&amp;'BOX ORDER'!F58</f>
        <v xml:space="preserve">
BOX #
51
HOODS
</v>
      </c>
    </row>
    <row r="53" spans="1:1" ht="404.25" x14ac:dyDescent="0.85">
      <c r="A53" s="32" t="str">
        <f>'BOX ORDER'!A59&amp;CHAR(10)&amp;CHAR(10)&amp;'BOX ORDER'!B59&amp;CHAR(10)&amp;'BOX ORDER'!D59&amp;CHAR(10)&amp;CHAR(10)&amp;'BOX ORDER'!E59&amp;CHAR(10)&amp;'BOX ORDER'!F59</f>
        <v xml:space="preserve">
BOX #
52
HOODS
</v>
      </c>
    </row>
    <row r="54" spans="1:1" ht="404.25" x14ac:dyDescent="0.85">
      <c r="A54" s="32" t="str">
        <f>'BOX ORDER'!A60&amp;CHAR(10)&amp;CHAR(10)&amp;'BOX ORDER'!B60&amp;CHAR(10)&amp;'BOX ORDER'!D60&amp;CHAR(10)&amp;CHAR(10)&amp;'BOX ORDER'!E60&amp;CHAR(10)&amp;'BOX ORDER'!F60</f>
        <v xml:space="preserve">
BOX #
53
HOODS
</v>
      </c>
    </row>
    <row r="55" spans="1:1" ht="404.25" x14ac:dyDescent="0.85">
      <c r="A55" s="32" t="str">
        <f>'BOX ORDER'!A61&amp;CHAR(10)&amp;CHAR(10)&amp;'BOX ORDER'!B61&amp;CHAR(10)&amp;'BOX ORDER'!D61&amp;CHAR(10)&amp;CHAR(10)&amp;'BOX ORDER'!E61&amp;CHAR(10)&amp;'BOX ORDER'!F61</f>
        <v xml:space="preserve">
BOX #
54
HOODS
</v>
      </c>
    </row>
    <row r="56" spans="1:1" ht="404.25" x14ac:dyDescent="0.85">
      <c r="A56" s="32" t="str">
        <f>'BOX ORDER'!A62&amp;CHAR(10)&amp;CHAR(10)&amp;'BOX ORDER'!B62&amp;CHAR(10)&amp;'BOX ORDER'!D62&amp;CHAR(10)&amp;CHAR(10)&amp;'BOX ORDER'!E62&amp;CHAR(10)&amp;'BOX ORDER'!F62</f>
        <v xml:space="preserve">
BOX #
55
HOODS
</v>
      </c>
    </row>
    <row r="57" spans="1:1" ht="404.25" x14ac:dyDescent="0.85">
      <c r="A57" s="32" t="str">
        <f>'BOX ORDER'!A63&amp;CHAR(10)&amp;CHAR(10)&amp;'BOX ORDER'!B63&amp;CHAR(10)&amp;'BOX ORDER'!D63&amp;CHAR(10)&amp;CHAR(10)&amp;'BOX ORDER'!E63&amp;CHAR(10)&amp;'BOX ORDER'!F63</f>
        <v xml:space="preserve">
BOX #
56
HOODS
</v>
      </c>
    </row>
    <row r="58" spans="1:1" ht="404.25" x14ac:dyDescent="0.85">
      <c r="A58" s="32" t="str">
        <f>'BOX ORDER'!A64&amp;CHAR(10)&amp;CHAR(10)&amp;'BOX ORDER'!B64&amp;CHAR(10)&amp;'BOX ORDER'!D64&amp;CHAR(10)&amp;CHAR(10)&amp;'BOX ORDER'!E64&amp;CHAR(10)&amp;'BOX ORDER'!F64</f>
        <v xml:space="preserve">
BOX #
57
HOODS
</v>
      </c>
    </row>
    <row r="59" spans="1:1" ht="404.25" x14ac:dyDescent="0.85">
      <c r="A59" s="32" t="str">
        <f>'BOX ORDER'!A65&amp;CHAR(10)&amp;CHAR(10)&amp;'BOX ORDER'!B65&amp;CHAR(10)&amp;'BOX ORDER'!D65&amp;CHAR(10)&amp;CHAR(10)&amp;'BOX ORDER'!E65&amp;CHAR(10)&amp;'BOX ORDER'!F65</f>
        <v xml:space="preserve">
BOX #
58
HOODS
</v>
      </c>
    </row>
    <row r="60" spans="1:1" ht="404.25" x14ac:dyDescent="0.85">
      <c r="A60" s="32" t="str">
        <f>'BOX ORDER'!A66&amp;CHAR(10)&amp;CHAR(10)&amp;'BOX ORDER'!B66&amp;CHAR(10)&amp;'BOX ORDER'!D66&amp;CHAR(10)&amp;CHAR(10)&amp;'BOX ORDER'!E66&amp;CHAR(10)&amp;'BOX ORDER'!F66</f>
        <v xml:space="preserve">
BOX #
59
HOODS
</v>
      </c>
    </row>
    <row r="61" spans="1:1" ht="404.25" x14ac:dyDescent="0.85">
      <c r="A61" s="32" t="str">
        <f>'BOX ORDER'!A67&amp;CHAR(10)&amp;CHAR(10)&amp;'BOX ORDER'!B67&amp;CHAR(10)&amp;'BOX ORDER'!D67&amp;CHAR(10)&amp;CHAR(10)&amp;'BOX ORDER'!E67&amp;CHAR(10)&amp;'BOX ORDER'!F67</f>
        <v xml:space="preserve">
BOX #
60
HOODS
</v>
      </c>
    </row>
    <row r="62" spans="1:1" ht="404.25" x14ac:dyDescent="0.85">
      <c r="A62" s="32" t="str">
        <f>'BOX ORDER'!A68&amp;CHAR(10)&amp;CHAR(10)&amp;'BOX ORDER'!B68&amp;CHAR(10)&amp;'BOX ORDER'!D68&amp;CHAR(10)&amp;CHAR(10)&amp;'BOX ORDER'!E68&amp;CHAR(10)&amp;'BOX ORDER'!F68</f>
        <v xml:space="preserve">
BOX #
61
HOODS
</v>
      </c>
    </row>
    <row r="63" spans="1:1" ht="404.25" x14ac:dyDescent="0.85">
      <c r="A63" s="32" t="str">
        <f>'BOX ORDER'!A69&amp;CHAR(10)&amp;CHAR(10)&amp;'BOX ORDER'!B69&amp;CHAR(10)&amp;'BOX ORDER'!D69&amp;CHAR(10)&amp;CHAR(10)&amp;'BOX ORDER'!E69&amp;CHAR(10)&amp;'BOX ORDER'!F69</f>
        <v xml:space="preserve">
BOX #
62
HOODS
</v>
      </c>
    </row>
    <row r="64" spans="1:1" ht="404.25" x14ac:dyDescent="0.85">
      <c r="A64" s="32" t="str">
        <f>'BOX ORDER'!A70&amp;CHAR(10)&amp;CHAR(10)&amp;'BOX ORDER'!B70&amp;CHAR(10)&amp;'BOX ORDER'!D70&amp;CHAR(10)&amp;CHAR(10)&amp;'BOX ORDER'!E70&amp;CHAR(10)&amp;'BOX ORDER'!F70</f>
        <v xml:space="preserve">
BOX #
63
HOODS
</v>
      </c>
    </row>
    <row r="65" spans="1:1" ht="404.25" x14ac:dyDescent="0.85">
      <c r="A65" s="32" t="str">
        <f>'BOX ORDER'!A71&amp;CHAR(10)&amp;CHAR(10)&amp;'BOX ORDER'!B71&amp;CHAR(10)&amp;'BOX ORDER'!D71&amp;CHAR(10)&amp;CHAR(10)&amp;'BOX ORDER'!E71&amp;CHAR(10)&amp;'BOX ORDER'!F71</f>
        <v xml:space="preserve">
BOX #
64
HOODS
</v>
      </c>
    </row>
    <row r="66" spans="1:1" ht="404.25" x14ac:dyDescent="0.85">
      <c r="A66" s="32" t="str">
        <f>'BOX ORDER'!A72&amp;CHAR(10)&amp;CHAR(10)&amp;'BOX ORDER'!B72&amp;CHAR(10)&amp;'BOX ORDER'!D72&amp;CHAR(10)&amp;CHAR(10)&amp;'BOX ORDER'!E72&amp;CHAR(10)&amp;'BOX ORDER'!F72</f>
        <v xml:space="preserve">
BOX #
65
HOODS
</v>
      </c>
    </row>
    <row r="67" spans="1:1" ht="404.25" x14ac:dyDescent="0.85">
      <c r="A67" s="32" t="str">
        <f>'BOX ORDER'!A73&amp;CHAR(10)&amp;CHAR(10)&amp;'BOX ORDER'!B73&amp;CHAR(10)&amp;'BOX ORDER'!D73&amp;CHAR(10)&amp;CHAR(10)&amp;'BOX ORDER'!E73&amp;CHAR(10)&amp;'BOX ORDER'!F73</f>
        <v xml:space="preserve">
BOX #
66
HOODS
</v>
      </c>
    </row>
    <row r="68" spans="1:1" ht="404.25" x14ac:dyDescent="0.85">
      <c r="A68" s="32" t="str">
        <f>'BOX ORDER'!A74&amp;CHAR(10)&amp;CHAR(10)&amp;'BOX ORDER'!B74&amp;CHAR(10)&amp;'BOX ORDER'!D74&amp;CHAR(10)&amp;CHAR(10)&amp;'BOX ORDER'!E74&amp;CHAR(10)&amp;'BOX ORDER'!F74</f>
        <v xml:space="preserve">
BOX #
67
HOODS
</v>
      </c>
    </row>
    <row r="69" spans="1:1" ht="404.25" x14ac:dyDescent="0.85">
      <c r="A69" s="32" t="str">
        <f>'BOX ORDER'!A75&amp;CHAR(10)&amp;CHAR(10)&amp;'BOX ORDER'!B75&amp;CHAR(10)&amp;'BOX ORDER'!D75&amp;CHAR(10)&amp;CHAR(10)&amp;'BOX ORDER'!E75&amp;CHAR(10)&amp;'BOX ORDER'!F75</f>
        <v xml:space="preserve">
BOX #
68
HOODS
</v>
      </c>
    </row>
    <row r="70" spans="1:1" ht="404.25" x14ac:dyDescent="0.85">
      <c r="A70" s="32" t="str">
        <f>'BOX ORDER'!A76&amp;CHAR(10)&amp;CHAR(10)&amp;'BOX ORDER'!B76&amp;CHAR(10)&amp;'BOX ORDER'!D76&amp;CHAR(10)&amp;CHAR(10)&amp;'BOX ORDER'!E76&amp;CHAR(10)&amp;'BOX ORDER'!F76</f>
        <v xml:space="preserve">
BOX #
69
HOODS
</v>
      </c>
    </row>
    <row r="71" spans="1:1" ht="404.25" x14ac:dyDescent="0.85">
      <c r="A71" s="32" t="str">
        <f>'BOX ORDER'!A77&amp;CHAR(10)&amp;CHAR(10)&amp;'BOX ORDER'!B77&amp;CHAR(10)&amp;'BOX ORDER'!D77&amp;CHAR(10)&amp;CHAR(10)&amp;'BOX ORDER'!E77&amp;CHAR(10)&amp;'BOX ORDER'!F77</f>
        <v xml:space="preserve">
BOX #
70
HOODS
</v>
      </c>
    </row>
    <row r="72" spans="1:1" ht="404.25" x14ac:dyDescent="0.85">
      <c r="A72" s="32" t="str">
        <f>'BOX ORDER'!A78&amp;CHAR(10)&amp;CHAR(10)&amp;'BOX ORDER'!B78&amp;CHAR(10)&amp;'BOX ORDER'!D78&amp;CHAR(10)&amp;CHAR(10)&amp;'BOX ORDER'!E78&amp;CHAR(10)&amp;'BOX ORDER'!F78</f>
        <v xml:space="preserve">
BOX #
71
HOODS
</v>
      </c>
    </row>
    <row r="73" spans="1:1" ht="404.25" x14ac:dyDescent="0.85">
      <c r="A73" s="32" t="str">
        <f>'BOX ORDER'!A79&amp;CHAR(10)&amp;CHAR(10)&amp;'BOX ORDER'!B79&amp;CHAR(10)&amp;'BOX ORDER'!D79&amp;CHAR(10)&amp;CHAR(10)&amp;'BOX ORDER'!E79&amp;CHAR(10)&amp;'BOX ORDER'!F79</f>
        <v xml:space="preserve">
BOX #
72
HOODS
</v>
      </c>
    </row>
    <row r="74" spans="1:1" ht="404.25" x14ac:dyDescent="0.85">
      <c r="A74" s="32" t="str">
        <f>'BOX ORDER'!A80&amp;CHAR(10)&amp;CHAR(10)&amp;'BOX ORDER'!B80&amp;CHAR(10)&amp;'BOX ORDER'!D80&amp;CHAR(10)&amp;CHAR(10)&amp;'BOX ORDER'!E80&amp;CHAR(10)&amp;'BOX ORDER'!F80</f>
        <v xml:space="preserve">
BOX #
73
HOODS
</v>
      </c>
    </row>
    <row r="75" spans="1:1" ht="404.25" x14ac:dyDescent="0.85">
      <c r="A75" s="32" t="str">
        <f>'BOX ORDER'!A81&amp;CHAR(10)&amp;CHAR(10)&amp;'BOX ORDER'!B81&amp;CHAR(10)&amp;'BOX ORDER'!D81&amp;CHAR(10)&amp;CHAR(10)&amp;'BOX ORDER'!E81&amp;CHAR(10)&amp;'BOX ORDER'!F81</f>
        <v xml:space="preserve">
BOX #
74
HOODS
</v>
      </c>
    </row>
    <row r="76" spans="1:1" ht="404.25" x14ac:dyDescent="0.85">
      <c r="A76" s="32" t="str">
        <f>'BOX ORDER'!A82&amp;CHAR(10)&amp;CHAR(10)&amp;'BOX ORDER'!B82&amp;CHAR(10)&amp;'BOX ORDER'!D82&amp;CHAR(10)&amp;CHAR(10)&amp;'BOX ORDER'!E82&amp;CHAR(10)&amp;'BOX ORDER'!F82</f>
        <v xml:space="preserve">
BOX #
75
HOODS
</v>
      </c>
    </row>
    <row r="77" spans="1:1" ht="404.25" x14ac:dyDescent="0.85">
      <c r="A77" s="32" t="str">
        <f>'BOX ORDER'!A83&amp;CHAR(10)&amp;CHAR(10)&amp;'BOX ORDER'!B83&amp;CHAR(10)&amp;'BOX ORDER'!D83&amp;CHAR(10)&amp;CHAR(10)&amp;'BOX ORDER'!E83&amp;CHAR(10)&amp;'BOX ORDER'!F83</f>
        <v xml:space="preserve">
BOX #
76
HOODS
</v>
      </c>
    </row>
    <row r="78" spans="1:1" ht="404.25" x14ac:dyDescent="0.85">
      <c r="A78" s="32" t="str">
        <f>'BOX ORDER'!A84&amp;CHAR(10)&amp;CHAR(10)&amp;'BOX ORDER'!B84&amp;CHAR(10)&amp;'BOX ORDER'!D84&amp;CHAR(10)&amp;CHAR(10)&amp;'BOX ORDER'!E84&amp;CHAR(10)&amp;'BOX ORDER'!F84</f>
        <v xml:space="preserve">
BOX #
77
HOODS
</v>
      </c>
    </row>
    <row r="79" spans="1:1" ht="404.25" x14ac:dyDescent="0.85">
      <c r="A79" s="32" t="str">
        <f>'BOX ORDER'!A85&amp;CHAR(10)&amp;CHAR(10)&amp;'BOX ORDER'!B85&amp;CHAR(10)&amp;'BOX ORDER'!D85&amp;CHAR(10)&amp;CHAR(10)&amp;'BOX ORDER'!E85&amp;CHAR(10)&amp;'BOX ORDER'!F85</f>
        <v xml:space="preserve">
BOX #
78
HOODS
</v>
      </c>
    </row>
    <row r="80" spans="1:1" ht="404.25" x14ac:dyDescent="0.85">
      <c r="A80" s="32" t="str">
        <f>'BOX ORDER'!A86&amp;CHAR(10)&amp;CHAR(10)&amp;'BOX ORDER'!B86&amp;CHAR(10)&amp;'BOX ORDER'!D86&amp;CHAR(10)&amp;CHAR(10)&amp;'BOX ORDER'!E86&amp;CHAR(10)&amp;'BOX ORDER'!F86</f>
        <v xml:space="preserve">
BOX #
79
HOODS
</v>
      </c>
    </row>
    <row r="81" spans="1:1" ht="404.25" x14ac:dyDescent="0.85">
      <c r="A81" s="32" t="str">
        <f>'BOX ORDER'!A87&amp;CHAR(10)&amp;CHAR(10)&amp;'BOX ORDER'!B87&amp;CHAR(10)&amp;'BOX ORDER'!D87&amp;CHAR(10)&amp;CHAR(10)&amp;'BOX ORDER'!E87&amp;CHAR(10)&amp;'BOX ORDER'!F87</f>
        <v xml:space="preserve">
BOX #
80
HOODS
</v>
      </c>
    </row>
    <row r="82" spans="1:1" ht="404.25" x14ac:dyDescent="0.85">
      <c r="A82" s="32" t="str">
        <f>'BOX ORDER'!A88&amp;CHAR(10)&amp;CHAR(10)&amp;'BOX ORDER'!B88&amp;CHAR(10)&amp;'BOX ORDER'!D88&amp;CHAR(10)&amp;CHAR(10)&amp;'BOX ORDER'!E88&amp;CHAR(10)&amp;'BOX ORDER'!F88</f>
        <v xml:space="preserve">
BOX #
81
HOODS
</v>
      </c>
    </row>
    <row r="83" spans="1:1" ht="404.25" x14ac:dyDescent="0.85">
      <c r="A83" s="32" t="str">
        <f>'BOX ORDER'!A89&amp;CHAR(10)&amp;CHAR(10)&amp;'BOX ORDER'!B89&amp;CHAR(10)&amp;'BOX ORDER'!D89&amp;CHAR(10)&amp;CHAR(10)&amp;'BOX ORDER'!E89&amp;CHAR(10)&amp;'BOX ORDER'!F89</f>
        <v xml:space="preserve">
BOX #
82
HOODS
</v>
      </c>
    </row>
    <row r="84" spans="1:1" ht="404.25" x14ac:dyDescent="0.85">
      <c r="A84" s="32" t="str">
        <f>'BOX ORDER'!A90&amp;CHAR(10)&amp;CHAR(10)&amp;'BOX ORDER'!B90&amp;CHAR(10)&amp;'BOX ORDER'!D90&amp;CHAR(10)&amp;CHAR(10)&amp;'BOX ORDER'!E90&amp;CHAR(10)&amp;'BOX ORDER'!F90</f>
        <v xml:space="preserve">
BOX #
83
HOODS
</v>
      </c>
    </row>
    <row r="85" spans="1:1" ht="404.25" x14ac:dyDescent="0.85">
      <c r="A85" s="32" t="str">
        <f>'BOX ORDER'!A91&amp;CHAR(10)&amp;CHAR(10)&amp;'BOX ORDER'!B91&amp;CHAR(10)&amp;'BOX ORDER'!D91&amp;CHAR(10)&amp;CHAR(10)&amp;'BOX ORDER'!E91&amp;CHAR(10)&amp;'BOX ORDER'!F91</f>
        <v xml:space="preserve">
BOX #
84
HOODS
</v>
      </c>
    </row>
    <row r="86" spans="1:1" ht="404.25" x14ac:dyDescent="0.85">
      <c r="A86" s="32" t="str">
        <f>'BOX ORDER'!A92&amp;CHAR(10)&amp;CHAR(10)&amp;'BOX ORDER'!B92&amp;CHAR(10)&amp;'BOX ORDER'!D92&amp;CHAR(10)&amp;CHAR(10)&amp;'BOX ORDER'!E92&amp;CHAR(10)&amp;'BOX ORDER'!F92</f>
        <v xml:space="preserve">
BOX #
85
HOODS
</v>
      </c>
    </row>
    <row r="87" spans="1:1" ht="404.25" x14ac:dyDescent="0.85">
      <c r="A87" s="32" t="str">
        <f>'BOX ORDER'!A93&amp;CHAR(10)&amp;CHAR(10)&amp;'BOX ORDER'!B93&amp;CHAR(10)&amp;'BOX ORDER'!D93&amp;CHAR(10)&amp;CHAR(10)&amp;'BOX ORDER'!E93&amp;CHAR(10)&amp;'BOX ORDER'!F93</f>
        <v xml:space="preserve">
BOX #
86
HOODS
</v>
      </c>
    </row>
    <row r="88" spans="1:1" ht="404.25" x14ac:dyDescent="0.85">
      <c r="A88" s="32" t="str">
        <f>'BOX ORDER'!A94&amp;CHAR(10)&amp;CHAR(10)&amp;'BOX ORDER'!B94&amp;CHAR(10)&amp;'BOX ORDER'!D94&amp;CHAR(10)&amp;CHAR(10)&amp;'BOX ORDER'!E94&amp;CHAR(10)&amp;'BOX ORDER'!F94</f>
        <v xml:space="preserve">
BOX #
87
HOODS
</v>
      </c>
    </row>
    <row r="89" spans="1:1" ht="404.25" x14ac:dyDescent="0.85">
      <c r="A89" s="32" t="str">
        <f>'BOX ORDER'!A95&amp;CHAR(10)&amp;CHAR(10)&amp;'BOX ORDER'!B95&amp;CHAR(10)&amp;'BOX ORDER'!D95&amp;CHAR(10)&amp;CHAR(10)&amp;'BOX ORDER'!E95&amp;CHAR(10)&amp;'BOX ORDER'!F95</f>
        <v xml:space="preserve">
BOX #
88
HOODS
</v>
      </c>
    </row>
    <row r="90" spans="1:1" ht="404.25" x14ac:dyDescent="0.85">
      <c r="A90" s="32" t="str">
        <f>'BOX ORDER'!A96&amp;CHAR(10)&amp;CHAR(10)&amp;'BOX ORDER'!B96&amp;CHAR(10)&amp;'BOX ORDER'!D96&amp;CHAR(10)&amp;CHAR(10)&amp;'BOX ORDER'!E96&amp;CHAR(10)&amp;'BOX ORDER'!F96</f>
        <v xml:space="preserve">
BOX #
89
HOODS
</v>
      </c>
    </row>
    <row r="91" spans="1:1" ht="404.25" x14ac:dyDescent="0.85">
      <c r="A91" s="32" t="str">
        <f>'BOX ORDER'!A97&amp;CHAR(10)&amp;CHAR(10)&amp;'BOX ORDER'!B97&amp;CHAR(10)&amp;'BOX ORDER'!D97&amp;CHAR(10)&amp;CHAR(10)&amp;'BOX ORDER'!E97&amp;CHAR(10)&amp;'BOX ORDER'!F97</f>
        <v xml:space="preserve">
BOX #
90
HOODS
</v>
      </c>
    </row>
    <row r="92" spans="1:1" ht="404.25" x14ac:dyDescent="0.85">
      <c r="A92" s="32" t="str">
        <f>'BOX ORDER'!A98&amp;CHAR(10)&amp;CHAR(10)&amp;'BOX ORDER'!B98&amp;CHAR(10)&amp;'BOX ORDER'!D98&amp;CHAR(10)&amp;CHAR(10)&amp;'BOX ORDER'!E98&amp;CHAR(10)&amp;'BOX ORDER'!F98</f>
        <v xml:space="preserve">
BOX #
91
HOODS
</v>
      </c>
    </row>
    <row r="93" spans="1:1" ht="404.25" x14ac:dyDescent="0.85">
      <c r="A93" s="32" t="str">
        <f>'BOX ORDER'!A99&amp;CHAR(10)&amp;CHAR(10)&amp;'BOX ORDER'!B99&amp;CHAR(10)&amp;'BOX ORDER'!D99&amp;CHAR(10)&amp;CHAR(10)&amp;'BOX ORDER'!E99&amp;CHAR(10)&amp;'BOX ORDER'!F99</f>
        <v xml:space="preserve">
BOX #
92
HOODS
</v>
      </c>
    </row>
    <row r="94" spans="1:1" ht="404.25" x14ac:dyDescent="0.85">
      <c r="A94" s="32" t="str">
        <f>'BOX ORDER'!A100&amp;CHAR(10)&amp;CHAR(10)&amp;'BOX ORDER'!B100&amp;CHAR(10)&amp;'BOX ORDER'!D100&amp;CHAR(10)&amp;CHAR(10)&amp;'BOX ORDER'!E100&amp;CHAR(10)&amp;'BOX ORDER'!F100</f>
        <v xml:space="preserve">
BOX #
93
HOODS
</v>
      </c>
    </row>
    <row r="95" spans="1:1" ht="404.25" x14ac:dyDescent="0.85">
      <c r="A95" s="32" t="str">
        <f>'BOX ORDER'!A101&amp;CHAR(10)&amp;CHAR(10)&amp;'BOX ORDER'!B101&amp;CHAR(10)&amp;'BOX ORDER'!D101&amp;CHAR(10)&amp;CHAR(10)&amp;'BOX ORDER'!E101&amp;CHAR(10)&amp;'BOX ORDER'!F101</f>
        <v xml:space="preserve">
BOX #
94
HOODS
</v>
      </c>
    </row>
    <row r="96" spans="1:1" ht="404.25" x14ac:dyDescent="0.85">
      <c r="A96" s="32" t="str">
        <f>'BOX ORDER'!A102&amp;CHAR(10)&amp;CHAR(10)&amp;'BOX ORDER'!B102&amp;CHAR(10)&amp;'BOX ORDER'!D102&amp;CHAR(10)&amp;CHAR(10)&amp;'BOX ORDER'!E102&amp;CHAR(10)&amp;'BOX ORDER'!F102</f>
        <v xml:space="preserve">
BOX #
95
HOODS
</v>
      </c>
    </row>
    <row r="97" spans="1:1" ht="404.25" x14ac:dyDescent="0.85">
      <c r="A97" s="32" t="str">
        <f>'BOX ORDER'!A103&amp;CHAR(10)&amp;CHAR(10)&amp;'BOX ORDER'!B103&amp;CHAR(10)&amp;'BOX ORDER'!D103&amp;CHAR(10)&amp;CHAR(10)&amp;'BOX ORDER'!E103&amp;CHAR(10)&amp;'BOX ORDER'!F103</f>
        <v xml:space="preserve">
BOX #
96
HOODS
</v>
      </c>
    </row>
    <row r="98" spans="1:1" ht="404.25" x14ac:dyDescent="0.85">
      <c r="A98" s="32" t="str">
        <f>'BOX ORDER'!A104&amp;CHAR(10)&amp;CHAR(10)&amp;'BOX ORDER'!B104&amp;CHAR(10)&amp;'BOX ORDER'!D104&amp;CHAR(10)&amp;CHAR(10)&amp;'BOX ORDER'!E104&amp;CHAR(10)&amp;'BOX ORDER'!F104</f>
        <v xml:space="preserve">
BOX #
97
HOODS
</v>
      </c>
    </row>
    <row r="99" spans="1:1" ht="404.25" x14ac:dyDescent="0.85">
      <c r="A99" s="32" t="str">
        <f>'BOX ORDER'!A105&amp;CHAR(10)&amp;CHAR(10)&amp;'BOX ORDER'!B105&amp;CHAR(10)&amp;'BOX ORDER'!D105&amp;CHAR(10)&amp;CHAR(10)&amp;'BOX ORDER'!E105&amp;CHAR(10)&amp;'BOX ORDER'!F105</f>
        <v xml:space="preserve">
BOX #
98
HOODS
</v>
      </c>
    </row>
    <row r="100" spans="1:1" ht="404.25" x14ac:dyDescent="0.85">
      <c r="A100" s="32" t="str">
        <f>'BOX ORDER'!A106&amp;CHAR(10)&amp;CHAR(10)&amp;'BOX ORDER'!B106&amp;CHAR(10)&amp;'BOX ORDER'!D106&amp;CHAR(10)&amp;CHAR(10)&amp;'BOX ORDER'!E106&amp;CHAR(10)&amp;'BOX ORDER'!F106</f>
        <v xml:space="preserve">
BOX #
99
HOODS
</v>
      </c>
    </row>
    <row r="101" spans="1:1" ht="404.25" x14ac:dyDescent="0.85">
      <c r="A101" s="32" t="str">
        <f>'BOX ORDER'!A107&amp;CHAR(10)&amp;CHAR(10)&amp;'BOX ORDER'!B107&amp;CHAR(10)&amp;'BOX ORDER'!D107&amp;CHAR(10)&amp;CHAR(10)&amp;'BOX ORDER'!E107&amp;CHAR(10)&amp;'BOX ORDER'!F107</f>
        <v xml:space="preserve">
BOX #
100
HOODS
</v>
      </c>
    </row>
    <row r="102" spans="1:1" ht="404.25" x14ac:dyDescent="0.85">
      <c r="A102" s="32" t="str">
        <f>'BOX ORDER'!A108&amp;CHAR(10)&amp;CHAR(10)&amp;'BOX ORDER'!B108&amp;CHAR(10)&amp;'BOX ORDER'!D108&amp;CHAR(10)&amp;CHAR(10)&amp;'BOX ORDER'!E108&amp;CHAR(10)&amp;'BOX ORDER'!F108</f>
        <v xml:space="preserve">
BOX #
101
HOODS
</v>
      </c>
    </row>
    <row r="103" spans="1:1" ht="404.25" x14ac:dyDescent="0.85">
      <c r="A103" s="32" t="str">
        <f>'BOX ORDER'!A109&amp;CHAR(10)&amp;CHAR(10)&amp;'BOX ORDER'!B109&amp;CHAR(10)&amp;'BOX ORDER'!D109&amp;CHAR(10)&amp;CHAR(10)&amp;'BOX ORDER'!E109&amp;CHAR(10)&amp;'BOX ORDER'!F109</f>
        <v xml:space="preserve">
BOX #
102
HOODS
</v>
      </c>
    </row>
    <row r="104" spans="1:1" ht="404.25" x14ac:dyDescent="0.85">
      <c r="A104" s="32" t="str">
        <f>'BOX ORDER'!A110&amp;CHAR(10)&amp;CHAR(10)&amp;'BOX ORDER'!B110&amp;CHAR(10)&amp;'BOX ORDER'!D110&amp;CHAR(10)&amp;CHAR(10)&amp;'BOX ORDER'!E110&amp;CHAR(10)&amp;'BOX ORDER'!F110</f>
        <v xml:space="preserve">
BOX #
103
HOODS
</v>
      </c>
    </row>
    <row r="105" spans="1:1" ht="404.25" x14ac:dyDescent="0.85">
      <c r="A105" s="32" t="str">
        <f>'BOX ORDER'!A111&amp;CHAR(10)&amp;CHAR(10)&amp;'BOX ORDER'!B111&amp;CHAR(10)&amp;'BOX ORDER'!D111&amp;CHAR(10)&amp;CHAR(10)&amp;'BOX ORDER'!E111&amp;CHAR(10)&amp;'BOX ORDER'!F111</f>
        <v xml:space="preserve">
BOX #
104
HOODS
</v>
      </c>
    </row>
    <row r="106" spans="1:1" ht="404.25" x14ac:dyDescent="0.85">
      <c r="A106" s="32" t="str">
        <f>'BOX ORDER'!A112&amp;CHAR(10)&amp;CHAR(10)&amp;'BOX ORDER'!B112&amp;CHAR(10)&amp;'BOX ORDER'!D112&amp;CHAR(10)&amp;CHAR(10)&amp;'BOX ORDER'!E112&amp;CHAR(10)&amp;'BOX ORDER'!F112</f>
        <v xml:space="preserve">
BOX #
105
HOODS
</v>
      </c>
    </row>
    <row r="107" spans="1:1" ht="404.25" x14ac:dyDescent="0.85">
      <c r="A107" s="32" t="str">
        <f>'BOX ORDER'!A113&amp;CHAR(10)&amp;CHAR(10)&amp;'BOX ORDER'!B113&amp;CHAR(10)&amp;'BOX ORDER'!D113&amp;CHAR(10)&amp;CHAR(10)&amp;'BOX ORDER'!E113&amp;CHAR(10)&amp;'BOX ORDER'!F113</f>
        <v xml:space="preserve">
BOX #
106
HOODS
</v>
      </c>
    </row>
    <row r="108" spans="1:1" ht="404.25" x14ac:dyDescent="0.85">
      <c r="A108" s="32" t="str">
        <f>'BOX ORDER'!A114&amp;CHAR(10)&amp;CHAR(10)&amp;'BOX ORDER'!B114&amp;CHAR(10)&amp;'BOX ORDER'!D114&amp;CHAR(10)&amp;CHAR(10)&amp;'BOX ORDER'!E114&amp;CHAR(10)&amp;'BOX ORDER'!F114</f>
        <v xml:space="preserve">
BOX #
107
HOODS
</v>
      </c>
    </row>
    <row r="109" spans="1:1" ht="404.25" x14ac:dyDescent="0.85">
      <c r="A109" s="32" t="str">
        <f>'BOX ORDER'!A115&amp;CHAR(10)&amp;CHAR(10)&amp;'BOX ORDER'!B115&amp;CHAR(10)&amp;'BOX ORDER'!D115&amp;CHAR(10)&amp;CHAR(10)&amp;'BOX ORDER'!E115&amp;CHAR(10)&amp;'BOX ORDER'!F115</f>
        <v xml:space="preserve">
BOX #
108
HOODS
</v>
      </c>
    </row>
    <row r="110" spans="1:1" ht="404.25" x14ac:dyDescent="0.85">
      <c r="A110" s="32" t="str">
        <f>'BOX ORDER'!A116&amp;CHAR(10)&amp;CHAR(10)&amp;'BOX ORDER'!B116&amp;CHAR(10)&amp;'BOX ORDER'!D116&amp;CHAR(10)&amp;CHAR(10)&amp;'BOX ORDER'!E116&amp;CHAR(10)&amp;'BOX ORDER'!F116</f>
        <v xml:space="preserve">
BOX #
109
HOODS
</v>
      </c>
    </row>
    <row r="111" spans="1:1" ht="404.25" x14ac:dyDescent="0.85">
      <c r="A111" s="32" t="str">
        <f>'BOX ORDER'!A117&amp;CHAR(10)&amp;CHAR(10)&amp;'BOX ORDER'!B117&amp;CHAR(10)&amp;'BOX ORDER'!D117&amp;CHAR(10)&amp;CHAR(10)&amp;'BOX ORDER'!E117&amp;CHAR(10)&amp;'BOX ORDER'!F117</f>
        <v xml:space="preserve">
BOX #
110
HOODS
</v>
      </c>
    </row>
    <row r="112" spans="1:1" x14ac:dyDescent="0.85">
      <c r="A112" s="32"/>
    </row>
    <row r="113" spans="1:1" x14ac:dyDescent="0.85">
      <c r="A113" s="32"/>
    </row>
    <row r="114" spans="1:1" x14ac:dyDescent="0.85">
      <c r="A114" s="32"/>
    </row>
    <row r="115" spans="1:1" x14ac:dyDescent="0.85">
      <c r="A115" s="32"/>
    </row>
    <row r="116" spans="1:1" x14ac:dyDescent="0.85">
      <c r="A116" s="32"/>
    </row>
    <row r="117" spans="1:1" x14ac:dyDescent="0.85">
      <c r="A117" s="32"/>
    </row>
    <row r="118" spans="1:1" x14ac:dyDescent="0.85">
      <c r="A118" s="32"/>
    </row>
    <row r="119" spans="1:1" x14ac:dyDescent="0.85">
      <c r="A119" s="32"/>
    </row>
    <row r="120" spans="1:1" x14ac:dyDescent="0.85">
      <c r="A120" s="32"/>
    </row>
    <row r="121" spans="1:1" x14ac:dyDescent="0.85">
      <c r="A121" s="32"/>
    </row>
    <row r="122" spans="1:1" x14ac:dyDescent="0.85">
      <c r="A122" s="32"/>
    </row>
    <row r="123" spans="1:1" x14ac:dyDescent="0.85">
      <c r="A123" s="32"/>
    </row>
    <row r="124" spans="1:1" x14ac:dyDescent="0.85">
      <c r="A124" s="32"/>
    </row>
    <row r="125" spans="1:1" ht="404.25" x14ac:dyDescent="0.85">
      <c r="A125" s="32" t="str">
        <f>'BOX ORDER'!A131&amp;CHAR(10)&amp;CHAR(10)&amp;'BOX ORDER'!B131&amp;CHAR(10)&amp;'BOX ORDER'!D131&amp;CHAR(10)&amp;CHAR(10)&amp;'BOX ORDER'!E131&amp;CHAR(10)&amp;'BOX ORDER'!F131</f>
        <v xml:space="preserve">
</v>
      </c>
    </row>
    <row r="126" spans="1:1" ht="404.25" x14ac:dyDescent="0.85">
      <c r="A126" s="32" t="str">
        <f>'BOX ORDER'!A132&amp;CHAR(10)&amp;CHAR(10)&amp;'BOX ORDER'!B132&amp;CHAR(10)&amp;'BOX ORDER'!D132&amp;CHAR(10)&amp;CHAR(10)&amp;'BOX ORDER'!E132&amp;CHAR(10)&amp;'BOX ORDER'!F132</f>
        <v xml:space="preserve">
</v>
      </c>
    </row>
    <row r="127" spans="1:1" ht="404.25" x14ac:dyDescent="0.85">
      <c r="A127" s="32" t="str">
        <f>'BOX ORDER'!A133&amp;CHAR(10)&amp;CHAR(10)&amp;'BOX ORDER'!B133&amp;CHAR(10)&amp;'BOX ORDER'!D133&amp;CHAR(10)&amp;CHAR(10)&amp;'BOX ORDER'!E133&amp;CHAR(10)&amp;'BOX ORDER'!F133</f>
        <v xml:space="preserve">
</v>
      </c>
    </row>
    <row r="128" spans="1:1" ht="404.25" x14ac:dyDescent="0.85">
      <c r="A128" s="32" t="str">
        <f>'BOX ORDER'!A134&amp;CHAR(10)&amp;CHAR(10)&amp;'BOX ORDER'!B134&amp;CHAR(10)&amp;'BOX ORDER'!D134&amp;CHAR(10)&amp;CHAR(10)&amp;'BOX ORDER'!E134&amp;CHAR(10)&amp;'BOX ORDER'!F134</f>
        <v xml:space="preserve">
</v>
      </c>
    </row>
    <row r="129" spans="1:1" ht="404.25" x14ac:dyDescent="0.85">
      <c r="A129" s="32" t="str">
        <f>'BOX ORDER'!A135&amp;CHAR(10)&amp;CHAR(10)&amp;'BOX ORDER'!B135&amp;CHAR(10)&amp;'BOX ORDER'!D135&amp;CHAR(10)&amp;CHAR(10)&amp;'BOX ORDER'!E135&amp;CHAR(10)&amp;'BOX ORDER'!F135</f>
        <v xml:space="preserve">
</v>
      </c>
    </row>
    <row r="130" spans="1:1" ht="404.25" x14ac:dyDescent="0.85">
      <c r="A130" s="32" t="str">
        <f>'BOX ORDER'!A136&amp;CHAR(10)&amp;CHAR(10)&amp;'BOX ORDER'!B136&amp;CHAR(10)&amp;'BOX ORDER'!D136&amp;CHAR(10)&amp;CHAR(10)&amp;'BOX ORDER'!E136&amp;CHAR(10)&amp;'BOX ORDER'!F136</f>
        <v xml:space="preserve">
</v>
      </c>
    </row>
    <row r="131" spans="1:1" ht="404.25" x14ac:dyDescent="0.85">
      <c r="A131" s="32" t="str">
        <f>'BOX ORDER'!A137&amp;CHAR(10)&amp;CHAR(10)&amp;'BOX ORDER'!B137&amp;CHAR(10)&amp;'BOX ORDER'!D137&amp;CHAR(10)&amp;CHAR(10)&amp;'BOX ORDER'!E137&amp;CHAR(10)&amp;'BOX ORDER'!F137</f>
        <v xml:space="preserve">
</v>
      </c>
    </row>
    <row r="132" spans="1:1" ht="404.25" x14ac:dyDescent="0.85">
      <c r="A132" s="32" t="str">
        <f>'BOX ORDER'!A138&amp;CHAR(10)&amp;CHAR(10)&amp;'BOX ORDER'!B138&amp;CHAR(10)&amp;'BOX ORDER'!D138&amp;CHAR(10)&amp;CHAR(10)&amp;'BOX ORDER'!E138&amp;CHAR(10)&amp;'BOX ORDER'!F138</f>
        <v xml:space="preserve">
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8804408C35E54B8EDD4EF6F54F9777" ma:contentTypeVersion="18" ma:contentTypeDescription="Create a new document." ma:contentTypeScope="" ma:versionID="7e371689943a0cb9b8f01ac54000388a">
  <xsd:schema xmlns:xsd="http://www.w3.org/2001/XMLSchema" xmlns:xs="http://www.w3.org/2001/XMLSchema" xmlns:p="http://schemas.microsoft.com/office/2006/metadata/properties" xmlns:ns2="1dd6da98-9f41-4eb5-af38-9f21cb504543" xmlns:ns3="73856205-f2a7-4c72-a142-37656da39e0a" targetNamespace="http://schemas.microsoft.com/office/2006/metadata/properties" ma:root="true" ma:fieldsID="e7f136b0b8f333e95325c5992621bfe8" ns2:_="" ns3:_="">
    <xsd:import namespace="1dd6da98-9f41-4eb5-af38-9f21cb504543"/>
    <xsd:import namespace="73856205-f2a7-4c72-a142-37656da39e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6da98-9f41-4eb5-af38-9f21cb504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8140b34-90bd-454a-bb40-693d87b6ca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856205-f2a7-4c72-a142-37656da39e0a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ccb1509-254f-4b20-ba7a-204b41c8387f}" ma:internalName="TaxCatchAll" ma:showField="CatchAllData" ma:web="73856205-f2a7-4c72-a142-37656da39e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d6da98-9f41-4eb5-af38-9f21cb504543">
      <Terms xmlns="http://schemas.microsoft.com/office/infopath/2007/PartnerControls"/>
    </lcf76f155ced4ddcb4097134ff3c332f>
    <TaxCatchAll xmlns="73856205-f2a7-4c72-a142-37656da39e0a" xsi:nil="true"/>
  </documentManagement>
</p:properties>
</file>

<file path=customXml/itemProps1.xml><?xml version="1.0" encoding="utf-8"?>
<ds:datastoreItem xmlns:ds="http://schemas.openxmlformats.org/officeDocument/2006/customXml" ds:itemID="{021C50D7-D197-458C-8D7A-7F788D43EB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818A46F-6DD8-427C-B505-4315A8F484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d6da98-9f41-4eb5-af38-9f21cb504543"/>
    <ds:schemaRef ds:uri="73856205-f2a7-4c72-a142-37656da39e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D59EBE5-24E1-45A6-9807-58C4F137407C}">
  <ds:schemaRefs>
    <ds:schemaRef ds:uri="http://schemas.openxmlformats.org/package/2006/metadata/core-properties"/>
    <ds:schemaRef ds:uri="http://purl.org/dc/elements/1.1/"/>
    <ds:schemaRef ds:uri="http://purl.org/dc/terms/"/>
    <ds:schemaRef ds:uri="http://www.w3.org/XML/1998/namespace"/>
    <ds:schemaRef ds:uri="http://schemas.microsoft.com/office/2006/metadata/properties"/>
    <ds:schemaRef ds:uri="73856205-f2a7-4c72-a142-37656da39e0a"/>
    <ds:schemaRef ds:uri="http://schemas.microsoft.com/office/2006/documentManagement/types"/>
    <ds:schemaRef ds:uri="http://schemas.microsoft.com/office/infopath/2007/PartnerControls"/>
    <ds:schemaRef ds:uri="1dd6da98-9f41-4eb5-af38-9f21cb504543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BOX ORDER</vt:lpstr>
      <vt:lpstr>DISPATCH WORKS ORDER</vt:lpstr>
      <vt:lpstr>CALCULATIONS</vt:lpstr>
      <vt:lpstr>BOXING ORDER LABELS</vt:lpstr>
      <vt:lpstr>DEC 23 - VERSION CONTROL</vt:lpstr>
      <vt:lpstr>NUMERICAL LABELS </vt:lpstr>
      <vt:lpstr>'BOX ORDER'!Print_Area</vt:lpstr>
      <vt:lpstr>'DISPATCH WORKS ORDER'!Print_Area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Savannah Irwin</dc:creator>
  <cp:keywords/>
  <dc:description/>
  <cp:lastModifiedBy>Caio Zendron</cp:lastModifiedBy>
  <cp:revision/>
  <cp:lastPrinted>2026-08-05T00:35:30Z</cp:lastPrinted>
  <dcterms:created xsi:type="dcterms:W3CDTF">2018-08-02T00:11:28Z</dcterms:created>
  <dcterms:modified xsi:type="dcterms:W3CDTF">2026-08-05T00:40:34Z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0x010100BE8804408C35E54B8EDD4EF6F54F9777</vt:lpwstr>
  </property>
  <property fmtid="{D5CDD505-2E9C-101B-9397-08002B2CF9AE}" pid="3" name="Order">
    <vt:r8>230800</vt:r8>
  </property>
  <property fmtid="{D5CDD505-2E9C-101B-9397-08002B2CF9AE}" pid="4" name="MediaServiceImageTags">
    <vt:lpwstr/>
  </property>
</Properties>
</file>